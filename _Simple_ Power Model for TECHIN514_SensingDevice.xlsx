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Parameters" sheetId="1" r:id="rId5"/>
    <sheet state="visible" name="Sensitivity Analysis" sheetId="2" r:id="rId6"/>
  </sheets>
  <definedNames/>
  <calcPr/>
</workbook>
</file>

<file path=xl/sharedStrings.xml><?xml version="1.0" encoding="utf-8"?>
<sst xmlns="http://schemas.openxmlformats.org/spreadsheetml/2006/main" count="79" uniqueCount="59">
  <si>
    <t>System Parameters (defined by hardware)</t>
  </si>
  <si>
    <t>Profiles (usage of each component mode - defined by software and usage)</t>
  </si>
  <si>
    <t>from the datasheets</t>
  </si>
  <si>
    <t>Supply (V)</t>
  </si>
  <si>
    <t>"off"</t>
  </si>
  <si>
    <t>"sensing"</t>
  </si>
  <si>
    <t>"interactive"</t>
  </si>
  <si>
    <t>Processor</t>
  </si>
  <si>
    <t>Current Consumption  (mA)</t>
  </si>
  <si>
    <t>Active (modeem sleep)</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</si>
  <si>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</si>
  <si>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</si>
  <si>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</si>
  <si>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</si>
  <si>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</si>
  <si>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</si>
  <si>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</si>
  <si>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</si>
  <si>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</si>
  <si>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</si>
  <si>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</si>
  <si>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</si>
  <si>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</si>
  <si>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</si>
  <si>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</si>
  <si>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</si>
  <si>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</si>
  <si>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</si>
  <si>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</si>
  <si>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</si>
  <si>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</si>
  <si>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</si>
  <si>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</si>
  <si>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</si>
  <si>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Pout</t>
  </si>
  <si>
    <t>Pin</t>
  </si>
  <si>
    <t>Nominal Voltage</t>
  </si>
  <si>
    <t>V</t>
  </si>
  <si>
    <t>Days of Use</t>
  </si>
  <si>
    <t>days</t>
  </si>
  <si>
    <t>Regulator Efficiency</t>
  </si>
  <si>
    <t>Hours of Use</t>
  </si>
  <si>
    <t xml:space="preserve">REFLECTIONS : WHAT DID YOU LEARN FROM ANALYZING YOUR POWER.  TALK ABOUT SOME POTENTIAL TRADEOFFS. </t>
  </si>
  <si>
    <t>I learned that RF mode and Work modes are two different modes. So I was initially analyzing the ESP32C3 datasheet incorrectly. 
For my device my "active mode" is actually Modem Sleep mode, because it's basically Idle mode until the device triggers the sensor. 
These parameters are really rough estimates as I'm doing this last minute with out instructor help. But my prediction matches "Hours of Use" where 
the device will be off or idle more than it's being used and therefore the battery will last for a while. Neopixel current consunption is used for LED, 
I used the max use-case scenario which is bright white light just in case higher battery capicity is needed, this can provide more battery power than
what is needed. Of course this is still a tradeoff, because if I'm trying to be price efficient more than power efficient I'm analyzing battery power more than what
is required. 
How did you determine your "days of use" metric? I gave most of my fraction into Idle modes and off modes because it'll be a short time in sensing mode in my use case 
scenario which is taking measurements from point A to point B. 
What do you think is the optimum size for the battery in your device? Anything that fits 3V3 battery
What hardware/software/cost/effort tradeoffs could you make to improve the user experience? 
I don't need shifters or capacitor pairs just pull up resistors for sensing device. That is sufficient enough to use the sensor</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</si>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</sst>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scheme val="minor"/>
    </font>
    <font>
      <sz val="11.0"/>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readingOrder="0"/>
    </xf>
    <xf borderId="0" fillId="0" fontId="2" numFmtId="0" xfId="0" applyAlignment="1" applyFont="1">
      <alignment readingOrder="0"/>
    </xf>
    <xf borderId="5" fillId="0" fontId="1" numFmtId="0" xfId="0" applyBorder="1" applyFont="1"/>
    <xf borderId="4" fillId="0" fontId="1" numFmtId="0" xfId="0" applyBorder="1" applyFont="1"/>
    <xf borderId="0" fillId="0" fontId="3" numFmtId="0" xfId="0" applyAlignment="1" applyFont="1">
      <alignment readingOrder="0"/>
    </xf>
    <xf borderId="0" fillId="0" fontId="1" numFmtId="0" xfId="0" applyAlignment="1" applyFont="1">
      <alignment readingOrder="0"/>
    </xf>
    <xf borderId="4" fillId="0" fontId="1" numFmtId="0" xfId="0" applyAlignment="1" applyBorder="1" applyFont="1">
      <alignment readingOrder="0"/>
    </xf>
    <xf borderId="0" fillId="2" fontId="3" numFmtId="1" xfId="0" applyAlignment="1" applyFill="1" applyFont="1" applyNumberFormat="1">
      <alignment readingOrder="0"/>
    </xf>
    <xf borderId="0" fillId="2" fontId="1" numFmtId="9" xfId="0" applyAlignment="1" applyFont="1" applyNumberFormat="1">
      <alignment readingOrder="0"/>
    </xf>
    <xf borderId="0" fillId="2" fontId="3" numFmtId="9" xfId="0" applyAlignment="1" applyFont="1" applyNumberFormat="1">
      <alignment readingOrder="0"/>
    </xf>
    <xf borderId="0" fillId="2" fontId="1" numFmtId="1" xfId="0" applyAlignment="1" applyFont="1" applyNumberFormat="1">
      <alignment readingOrder="0"/>
    </xf>
    <xf borderId="0" fillId="0" fontId="1" numFmtId="1" xfId="0" applyFont="1" applyNumberFormat="1"/>
    <xf borderId="0" fillId="2" fontId="1" numFmtId="0" xfId="0" applyAlignment="1" applyFont="1">
      <alignment readingOrder="0"/>
    </xf>
    <xf borderId="0" fillId="3" fontId="1" numFmtId="0" xfId="0" applyAlignment="1" applyFill="1" applyFont="1">
      <alignment readingOrder="0"/>
    </xf>
    <xf borderId="0" fillId="3" fontId="1" numFmtId="0" xfId="0" applyFont="1"/>
    <xf borderId="0" fillId="3" fontId="1" numFmtId="164" xfId="0" applyFont="1" applyNumberFormat="1"/>
    <xf borderId="0" fillId="0" fontId="1" numFmtId="0" xfId="0" applyFont="1"/>
    <xf borderId="0" fillId="4" fontId="2" numFmtId="0" xfId="0" applyAlignment="1" applyFill="1" applyFont="1">
      <alignment readingOrder="0"/>
    </xf>
    <xf borderId="0" fillId="4" fontId="2" numFmtId="2" xfId="0" applyFont="1" applyNumberFormat="1"/>
    <xf borderId="6" fillId="0" fontId="1" numFmtId="0" xfId="0" applyBorder="1" applyFont="1"/>
    <xf borderId="7" fillId="0" fontId="1" numFmtId="0" xfId="0" applyBorder="1" applyFont="1"/>
    <xf borderId="8" fillId="0" fontId="1" numFmtId="0" xfId="0" applyBorder="1" applyFont="1"/>
    <xf borderId="0" fillId="0" fontId="1" numFmtId="9"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180107167"/>
        <c:axId val="1194556157"/>
      </c:barChart>
      <c:catAx>
        <c:axId val="1801071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94556157"/>
      </c:catAx>
      <c:valAx>
        <c:axId val="1194556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1071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1973834130"/>
        <c:axId val="240221375"/>
      </c:barChart>
      <c:catAx>
        <c:axId val="19738341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40221375"/>
      </c:catAx>
      <c:valAx>
        <c:axId val="2402213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383413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180975</xdr:rowOff>
    </xdr:from>
    <xdr:ext cx="6743700"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3723525" y="2928400"/>
          <a:ext cx="3064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a:t>
          </a:r>
          <a:r>
            <a:rPr lang="en-US" sz="1400"/>
            <a:t>f component changes by 10%...</a:t>
          </a:r>
          <a:endParaRPr sz="1400"/>
        </a:p>
        <a:p>
          <a:pPr indent="0" lvl="0" marL="0" rtl="0" algn="l">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171450</xdr:rowOff>
    </xdr:from>
    <xdr:ext cx="6743700" cy="41719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355075" y="2317525"/>
          <a:ext cx="33552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If component changes by 10%</a:t>
          </a:r>
          <a:endParaRPr sz="1400"/>
        </a:p>
        <a:p>
          <a:pPr indent="0" lvl="0" marL="0" rtl="0" algn="l">
            <a:spcBef>
              <a:spcPts val="0"/>
            </a:spcBef>
            <a:spcAft>
              <a:spcPts val="0"/>
            </a:spcAft>
            <a:buNone/>
          </a:pPr>
          <a:r>
            <a:rPr lang="en-US" sz="1400"/>
            <a:t>… “hours” of use changes by x%</a:t>
          </a:r>
          <a:endParaRPr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0"/>
    <col customWidth="1" min="4" max="4" width="23.88"/>
    <col customWidth="1" min="5" max="5" width="12.75"/>
    <col customWidth="1" min="7" max="7" width="29.88"/>
  </cols>
  <sheetData>
    <row r="2">
      <c r="A2" s="1"/>
      <c r="B2" s="2"/>
      <c r="C2" s="2"/>
      <c r="D2" s="2"/>
      <c r="E2" s="2"/>
      <c r="F2" s="2"/>
      <c r="G2" s="2"/>
      <c r="H2" s="2"/>
      <c r="I2" s="3"/>
    </row>
    <row r="3">
      <c r="A3" s="4" t="s">
        <v>0</v>
      </c>
      <c r="E3" s="5" t="s">
        <v>1</v>
      </c>
      <c r="I3" s="6"/>
    </row>
    <row r="4">
      <c r="A4" s="7"/>
      <c r="B4" s="8" t="s">
        <v>2</v>
      </c>
      <c r="I4" s="6"/>
    </row>
    <row r="5">
      <c r="A5" s="4" t="s">
        <v>3</v>
      </c>
      <c r="B5" s="9">
        <v>3.3</v>
      </c>
      <c r="E5" s="9" t="s">
        <v>4</v>
      </c>
      <c r="F5" s="9" t="s">
        <v>5</v>
      </c>
      <c r="G5" s="9" t="s">
        <v>6</v>
      </c>
      <c r="I5" s="6"/>
    </row>
    <row r="6">
      <c r="A6" s="4" t="s">
        <v>7</v>
      </c>
      <c r="D6" s="5" t="s">
        <v>8</v>
      </c>
      <c r="I6" s="6"/>
    </row>
    <row r="7">
      <c r="A7" s="10" t="s">
        <v>9</v>
      </c>
      <c r="B7" s="11">
        <f>3.3*D7</f>
        <v>72.6</v>
      </c>
      <c r="C7" s="9" t="s">
        <v>10</v>
      </c>
      <c r="D7" s="9">
        <v>22.0</v>
      </c>
      <c r="E7" s="12">
        <v>0.0</v>
      </c>
      <c r="F7" s="13">
        <v>1.0</v>
      </c>
      <c r="G7" s="12">
        <v>0.1</v>
      </c>
      <c r="I7" s="6"/>
    </row>
    <row r="8">
      <c r="A8" s="10" t="s">
        <v>11</v>
      </c>
      <c r="B8" s="14">
        <f>B5*D8</f>
        <v>0.429</v>
      </c>
      <c r="C8" s="9" t="s">
        <v>10</v>
      </c>
      <c r="D8" s="9">
        <v>0.13</v>
      </c>
      <c r="E8" s="12">
        <v>0.8</v>
      </c>
      <c r="F8" s="13">
        <v>0.2</v>
      </c>
      <c r="G8" s="12">
        <v>0.0</v>
      </c>
      <c r="I8" s="6"/>
    </row>
    <row r="9">
      <c r="A9" s="10" t="s">
        <v>12</v>
      </c>
      <c r="B9" s="14">
        <f>B5*D9</f>
        <v>0.0165</v>
      </c>
      <c r="C9" s="9" t="s">
        <v>10</v>
      </c>
      <c r="D9" s="9">
        <v>0.005</v>
      </c>
      <c r="E9" s="12">
        <v>1.0</v>
      </c>
      <c r="F9" s="12">
        <v>0.0</v>
      </c>
      <c r="G9" s="12">
        <v>0.0</v>
      </c>
      <c r="I9" s="6"/>
    </row>
    <row r="10">
      <c r="A10" s="7"/>
      <c r="I10" s="6"/>
    </row>
    <row r="11">
      <c r="A11" s="4" t="s">
        <v>13</v>
      </c>
      <c r="I11" s="6"/>
    </row>
    <row r="12">
      <c r="A12" s="10" t="s">
        <v>14</v>
      </c>
      <c r="B12" s="14">
        <f>B5*D12</f>
        <v>198</v>
      </c>
      <c r="C12" s="9" t="s">
        <v>10</v>
      </c>
      <c r="D12" s="9">
        <v>60.0</v>
      </c>
      <c r="E12" s="12">
        <v>0.0</v>
      </c>
      <c r="F12" s="12">
        <v>1.0</v>
      </c>
      <c r="G12" s="12">
        <v>0.0</v>
      </c>
      <c r="I12" s="6"/>
    </row>
    <row r="13">
      <c r="A13" s="7"/>
      <c r="B13" s="15"/>
      <c r="I13" s="6"/>
    </row>
    <row r="14">
      <c r="A14" s="7"/>
      <c r="B14" s="15"/>
      <c r="I14" s="6"/>
    </row>
    <row r="15">
      <c r="A15" s="4" t="s">
        <v>15</v>
      </c>
      <c r="B15" s="15"/>
      <c r="I15" s="6"/>
    </row>
    <row r="16">
      <c r="A16" s="10" t="s">
        <v>14</v>
      </c>
      <c r="B16" s="14">
        <f>B5*D16</f>
        <v>69.3</v>
      </c>
      <c r="C16" s="9" t="s">
        <v>10</v>
      </c>
      <c r="D16" s="9">
        <v>21.0</v>
      </c>
      <c r="E16" s="12">
        <v>0.0</v>
      </c>
      <c r="F16" s="12">
        <v>1.0</v>
      </c>
      <c r="G16" s="12">
        <v>0.0</v>
      </c>
      <c r="I16" s="6"/>
    </row>
    <row r="17">
      <c r="A17" s="10" t="s">
        <v>11</v>
      </c>
      <c r="B17" s="14">
        <f>B5*D17</f>
        <v>0.0297</v>
      </c>
      <c r="C17" s="9" t="s">
        <v>10</v>
      </c>
      <c r="D17" s="9">
        <v>0.009</v>
      </c>
      <c r="E17" s="12">
        <v>0.0</v>
      </c>
      <c r="F17" s="12">
        <v>0.1</v>
      </c>
      <c r="G17" s="12">
        <v>0.9</v>
      </c>
      <c r="I17" s="6"/>
    </row>
    <row r="18">
      <c r="A18" s="10" t="s">
        <v>16</v>
      </c>
      <c r="B18" s="14">
        <f>B5*D18</f>
        <v>0.0231</v>
      </c>
      <c r="C18" s="9" t="s">
        <v>10</v>
      </c>
      <c r="D18" s="9">
        <v>0.007</v>
      </c>
      <c r="E18" s="12">
        <v>1.0</v>
      </c>
      <c r="F18" s="12">
        <v>0.0</v>
      </c>
      <c r="G18" s="12">
        <v>0.0</v>
      </c>
      <c r="I18" s="6"/>
    </row>
    <row r="19">
      <c r="A19" s="7"/>
      <c r="B19" s="15"/>
      <c r="I19" s="6"/>
    </row>
    <row r="20">
      <c r="A20" s="4" t="s">
        <v>17</v>
      </c>
      <c r="B20" s="15"/>
      <c r="I20" s="6"/>
    </row>
    <row r="21">
      <c r="A21" s="10" t="s">
        <v>14</v>
      </c>
      <c r="B21" s="14">
        <f t="shared" ref="B21:B22" si="1">3.3*D21</f>
        <v>102.465</v>
      </c>
      <c r="C21" s="9" t="s">
        <v>10</v>
      </c>
      <c r="D21" s="9">
        <v>31.05</v>
      </c>
      <c r="E21" s="12">
        <v>0.0</v>
      </c>
      <c r="F21" s="12">
        <v>0.5</v>
      </c>
      <c r="G21" s="12">
        <v>0.5</v>
      </c>
      <c r="I21" s="6"/>
    </row>
    <row r="22">
      <c r="A22" s="10" t="s">
        <v>18</v>
      </c>
      <c r="B22" s="14">
        <f t="shared" si="1"/>
        <v>56.694</v>
      </c>
      <c r="C22" s="9" t="s">
        <v>10</v>
      </c>
      <c r="D22" s="9">
        <v>17.18</v>
      </c>
      <c r="E22" s="12">
        <v>0.9</v>
      </c>
      <c r="F22" s="12">
        <v>0.05</v>
      </c>
      <c r="G22" s="12">
        <v>0.05</v>
      </c>
      <c r="I22" s="6"/>
    </row>
    <row r="23">
      <c r="A23" s="7"/>
      <c r="I23" s="6"/>
    </row>
    <row r="24">
      <c r="A24" s="4" t="s">
        <v>19</v>
      </c>
      <c r="I24" s="6"/>
      <c r="K24" s="1"/>
      <c r="L24" s="2"/>
      <c r="M24" s="2"/>
      <c r="N24" s="2"/>
      <c r="O24" s="2"/>
      <c r="P24" s="2"/>
      <c r="Q24" s="3"/>
    </row>
    <row r="25">
      <c r="A25" s="10" t="s">
        <v>20</v>
      </c>
      <c r="B25" s="16">
        <v>1000000.0</v>
      </c>
      <c r="C25" s="9" t="s">
        <v>21</v>
      </c>
      <c r="E25" s="12">
        <v>0.0</v>
      </c>
      <c r="F25" s="12">
        <v>0.0</v>
      </c>
      <c r="G25" s="12">
        <v>0.0</v>
      </c>
      <c r="I25" s="6"/>
      <c r="K25" s="7"/>
      <c r="L25" s="17" t="s">
        <v>22</v>
      </c>
      <c r="M25" s="18"/>
      <c r="N25" s="18"/>
      <c r="O25" s="17" t="s">
        <v>23</v>
      </c>
      <c r="P25" s="18"/>
      <c r="Q25" s="6"/>
    </row>
    <row r="26">
      <c r="A26" s="10" t="s">
        <v>24</v>
      </c>
      <c r="B26" s="14">
        <v>0.0</v>
      </c>
      <c r="C26" s="9" t="s">
        <v>10</v>
      </c>
      <c r="E26" s="12">
        <v>0.05</v>
      </c>
      <c r="F26" s="12">
        <v>0.9</v>
      </c>
      <c r="G26" s="12">
        <v>0.05</v>
      </c>
      <c r="I26" s="6"/>
      <c r="K26" s="7"/>
      <c r="L26" s="18" t="str">
        <f>E5</f>
        <v>"off"</v>
      </c>
      <c r="M26" s="18">
        <f>SUMPRODUCT(B7:B28, E7:E28)</f>
        <v>51.4074</v>
      </c>
      <c r="N26" s="17" t="s">
        <v>10</v>
      </c>
      <c r="O26" s="19">
        <f t="shared" ref="O26:O28" si="2">$M$31/M26</f>
        <v>203.4984129</v>
      </c>
      <c r="P26" s="17" t="s">
        <v>25</v>
      </c>
      <c r="Q26" s="6"/>
    </row>
    <row r="27">
      <c r="A27" s="10" t="s">
        <v>26</v>
      </c>
      <c r="B27" s="14">
        <f t="shared" ref="B27:B28" si="3">3.3*D27</f>
        <v>1105.5</v>
      </c>
      <c r="C27" s="9" t="s">
        <v>10</v>
      </c>
      <c r="D27" s="9">
        <v>335.0</v>
      </c>
      <c r="E27" s="12">
        <v>0.0</v>
      </c>
      <c r="F27" s="12">
        <v>1.0</v>
      </c>
      <c r="G27" s="12">
        <v>0.0</v>
      </c>
      <c r="I27" s="6"/>
      <c r="K27" s="7"/>
      <c r="L27" s="18" t="str">
        <f>F5</f>
        <v>"sensing"</v>
      </c>
      <c r="M27" s="18">
        <f>SUMPRODUCT(B7:B28, F7:F28)</f>
        <v>1499.55597</v>
      </c>
      <c r="N27" s="17" t="s">
        <v>10</v>
      </c>
      <c r="O27" s="19">
        <f t="shared" si="2"/>
        <v>6.976281326</v>
      </c>
      <c r="P27" s="17" t="s">
        <v>25</v>
      </c>
      <c r="Q27" s="6"/>
    </row>
    <row r="28">
      <c r="A28" s="10" t="s">
        <v>27</v>
      </c>
      <c r="B28" s="14">
        <f t="shared" si="3"/>
        <v>287.1</v>
      </c>
      <c r="C28" s="9" t="s">
        <v>10</v>
      </c>
      <c r="D28" s="9">
        <v>87.0</v>
      </c>
      <c r="E28" s="12">
        <v>0.0</v>
      </c>
      <c r="F28" s="12">
        <v>0.0</v>
      </c>
      <c r="G28" s="12">
        <v>1.0</v>
      </c>
      <c r="I28" s="6"/>
      <c r="K28" s="7"/>
      <c r="L28" s="18" t="str">
        <f>G5</f>
        <v>"interactive"</v>
      </c>
      <c r="M28" s="18">
        <f>SUMPRODUCT(B7:B28, G7:G28)</f>
        <v>348.45393</v>
      </c>
      <c r="N28" s="17" t="s">
        <v>10</v>
      </c>
      <c r="O28" s="19">
        <f t="shared" si="2"/>
        <v>30.02211601</v>
      </c>
      <c r="P28" s="17" t="s">
        <v>25</v>
      </c>
      <c r="Q28" s="6"/>
    </row>
    <row r="29">
      <c r="A29" s="7"/>
      <c r="I29" s="6"/>
      <c r="K29" s="7"/>
      <c r="Q29" s="6"/>
    </row>
    <row r="30">
      <c r="A30" s="4"/>
      <c r="E30" s="16">
        <v>20.0</v>
      </c>
      <c r="F30" s="16">
        <v>2.0</v>
      </c>
      <c r="G30" s="16">
        <v>2.0</v>
      </c>
      <c r="H30" s="9" t="s">
        <v>28</v>
      </c>
      <c r="I30" s="6"/>
      <c r="K30" s="7"/>
      <c r="L30" s="9" t="s">
        <v>29</v>
      </c>
      <c r="Q30" s="6"/>
    </row>
    <row r="31">
      <c r="A31" s="4" t="s">
        <v>30</v>
      </c>
      <c r="I31" s="6"/>
      <c r="K31" s="7"/>
      <c r="M31" s="20">
        <f>B32*B33*B34</f>
        <v>10461.32431</v>
      </c>
      <c r="N31" s="9" t="s">
        <v>31</v>
      </c>
      <c r="Q31" s="6"/>
    </row>
    <row r="32">
      <c r="A32" s="10" t="s">
        <v>32</v>
      </c>
      <c r="B32" s="14">
        <f>73+198+69+102+57+1106+287</f>
        <v>1892</v>
      </c>
      <c r="C32" s="9" t="s">
        <v>33</v>
      </c>
      <c r="D32" s="9" t="s">
        <v>34</v>
      </c>
      <c r="E32" s="9" t="s">
        <v>35</v>
      </c>
      <c r="I32" s="6"/>
      <c r="K32" s="7"/>
      <c r="Q32" s="6"/>
    </row>
    <row r="33">
      <c r="A33" s="10" t="s">
        <v>36</v>
      </c>
      <c r="B33" s="14">
        <v>3.3</v>
      </c>
      <c r="C33" s="9" t="s">
        <v>37</v>
      </c>
      <c r="D33" s="15">
        <f>B12+B16+B27</f>
        <v>1372.8</v>
      </c>
      <c r="E33" s="15">
        <f>B7+B12+B21+B21+B22+B28</f>
        <v>819.324</v>
      </c>
      <c r="I33" s="6"/>
      <c r="K33" s="7"/>
      <c r="L33" s="21" t="s">
        <v>38</v>
      </c>
      <c r="M33" s="22">
        <f>M31/(E30*M26+F30*M27+G30*M28)</f>
        <v>2.214426912</v>
      </c>
      <c r="N33" s="21" t="s">
        <v>39</v>
      </c>
      <c r="Q33" s="6"/>
    </row>
    <row r="34">
      <c r="A34" s="10" t="s">
        <v>40</v>
      </c>
      <c r="B34" s="12">
        <f>D33/E33</f>
        <v>1.67552763</v>
      </c>
      <c r="I34" s="6"/>
      <c r="K34" s="7"/>
      <c r="L34" s="21" t="s">
        <v>41</v>
      </c>
      <c r="M34" s="22">
        <f>M33*24</f>
        <v>53.14624588</v>
      </c>
      <c r="N34" s="21" t="s">
        <v>25</v>
      </c>
      <c r="Q34" s="6"/>
    </row>
    <row r="35">
      <c r="A35" s="23"/>
      <c r="B35" s="24"/>
      <c r="C35" s="24"/>
      <c r="D35" s="24"/>
      <c r="E35" s="24"/>
      <c r="F35" s="24"/>
      <c r="G35" s="24"/>
      <c r="H35" s="24"/>
      <c r="I35" s="25"/>
      <c r="K35" s="23"/>
      <c r="L35" s="24"/>
      <c r="M35" s="24"/>
      <c r="N35" s="24"/>
      <c r="O35" s="24"/>
      <c r="P35" s="24"/>
      <c r="Q35" s="25"/>
    </row>
    <row r="38">
      <c r="A38" s="5" t="s">
        <v>42</v>
      </c>
    </row>
    <row r="39">
      <c r="A39" s="9" t="s">
        <v>43</v>
      </c>
    </row>
  </sheetData>
  <mergeCells count="1">
    <mergeCell ref="A39:G54"/>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0">
      <c r="A50" s="9" t="s">
        <v>44</v>
      </c>
    </row>
    <row r="52">
      <c r="A52" s="20" t="str">
        <f>'System Parameters'!A3</f>
        <v>System Parameters (defined by hardware)</v>
      </c>
      <c r="B52" s="20" t="str">
        <f>'System Parameters'!B3</f>
        <v/>
      </c>
      <c r="C52" s="20" t="str">
        <f>'System Parameters'!C3</f>
        <v/>
      </c>
      <c r="D52" s="20" t="str">
        <f>'System Parameters'!D3</f>
        <v/>
      </c>
      <c r="T52" s="20" t="str">
        <f>'System Parameters'!E3</f>
        <v>Profiles (usage of each component mode - defined by software and usage)</v>
      </c>
      <c r="U52" s="20" t="str">
        <f>'System Parameters'!F3</f>
        <v/>
      </c>
      <c r="V52" s="20" t="str">
        <f>'System Parameters'!G3</f>
        <v/>
      </c>
      <c r="W52" s="20" t="str">
        <f>'System Parameters'!H3</f>
        <v/>
      </c>
    </row>
    <row r="53">
      <c r="A53" s="20" t="str">
        <f>'System Parameters'!A4</f>
        <v/>
      </c>
      <c r="B53" s="20" t="str">
        <f>'System Parameters'!B4</f>
        <v>from the datasheets</v>
      </c>
      <c r="C53" s="20" t="str">
        <f>'System Parameters'!C4</f>
        <v/>
      </c>
      <c r="D53" s="20" t="str">
        <f>'System Parameters'!D4</f>
        <v/>
      </c>
      <c r="T53" s="20" t="str">
        <f>'System Parameters'!E4</f>
        <v/>
      </c>
      <c r="U53" s="20" t="str">
        <f>'System Parameters'!F4</f>
        <v/>
      </c>
      <c r="V53" s="20" t="str">
        <f>'System Parameters'!G4</f>
        <v/>
      </c>
      <c r="W53" s="20" t="str">
        <f>'System Parameters'!H4</f>
        <v/>
      </c>
    </row>
    <row r="54">
      <c r="A54" s="20" t="str">
        <f>'System Parameters'!A5</f>
        <v>Supply (V)</v>
      </c>
      <c r="B54" s="20">
        <f>'System Parameters'!B5</f>
        <v>3.3</v>
      </c>
      <c r="C54" s="20" t="str">
        <f>'System Parameters'!C5</f>
        <v/>
      </c>
      <c r="D54" s="20" t="str">
        <f>'System Parameters'!D5</f>
        <v/>
      </c>
      <c r="T54" s="20" t="str">
        <f>'System Parameters'!E5</f>
        <v>"off"</v>
      </c>
      <c r="U54" s="20" t="str">
        <f>'System Parameters'!F5</f>
        <v>"sensing"</v>
      </c>
      <c r="V54" s="20" t="str">
        <f>'System Parameters'!G5</f>
        <v>"interactive"</v>
      </c>
      <c r="W54" s="20" t="str">
        <f>'System Parameters'!H5</f>
        <v/>
      </c>
    </row>
    <row r="55">
      <c r="A55" s="20" t="str">
        <f>'System Parameters'!A6</f>
        <v>Processor</v>
      </c>
      <c r="B55" s="20" t="str">
        <f>'System Parameters'!B6</f>
        <v/>
      </c>
      <c r="C55" s="20" t="str">
        <f>'System Parameters'!C6</f>
        <v/>
      </c>
      <c r="D55" s="20" t="str">
        <f>'System Parameters'!D6</f>
        <v>Current Consumption  (mA)</v>
      </c>
      <c r="T55" s="20" t="str">
        <f>'System Parameters'!E6</f>
        <v/>
      </c>
      <c r="U55" s="20" t="str">
        <f>'System Parameters'!F6</f>
        <v/>
      </c>
      <c r="V55" s="20" t="str">
        <f>'System Parameters'!G6</f>
        <v/>
      </c>
      <c r="W55" s="20" t="str">
        <f>'System Parameters'!H6</f>
        <v/>
      </c>
    </row>
    <row r="56">
      <c r="A56" s="20" t="str">
        <f>'System Parameters'!A7</f>
        <v>Active (modeem sleep)</v>
      </c>
      <c r="B56" s="15">
        <f>'System Parameters'!B7</f>
        <v>72.6</v>
      </c>
      <c r="C56" s="20" t="str">
        <f>'System Parameters'!C7</f>
        <v>mW</v>
      </c>
      <c r="D56" s="20">
        <f>$B56*0.9</f>
        <v>65.34</v>
      </c>
      <c r="E56" s="15">
        <f t="shared" ref="E56:O56" si="1">$B56</f>
        <v>72.6</v>
      </c>
      <c r="F56" s="15">
        <f t="shared" si="1"/>
        <v>72.6</v>
      </c>
      <c r="G56" s="15">
        <f t="shared" si="1"/>
        <v>72.6</v>
      </c>
      <c r="H56" s="15">
        <f t="shared" si="1"/>
        <v>72.6</v>
      </c>
      <c r="I56" s="15">
        <f t="shared" si="1"/>
        <v>72.6</v>
      </c>
      <c r="J56" s="15">
        <f t="shared" si="1"/>
        <v>72.6</v>
      </c>
      <c r="K56" s="15">
        <f t="shared" si="1"/>
        <v>72.6</v>
      </c>
      <c r="L56" s="15">
        <f t="shared" si="1"/>
        <v>72.6</v>
      </c>
      <c r="M56" s="15">
        <f t="shared" si="1"/>
        <v>72.6</v>
      </c>
      <c r="N56" s="15">
        <f t="shared" si="1"/>
        <v>72.6</v>
      </c>
      <c r="O56" s="15">
        <f t="shared" si="1"/>
        <v>72.6</v>
      </c>
      <c r="T56" s="26">
        <f>'System Parameters'!E7</f>
        <v>0</v>
      </c>
      <c r="U56" s="26">
        <f>'System Parameters'!F7</f>
        <v>1</v>
      </c>
      <c r="V56" s="26">
        <f>'System Parameters'!G7</f>
        <v>0.1</v>
      </c>
      <c r="W56" s="20" t="str">
        <f>'System Parameters'!H7</f>
        <v/>
      </c>
    </row>
    <row r="57">
      <c r="A57" s="20" t="str">
        <f>'System Parameters'!A8</f>
        <v>Idle</v>
      </c>
      <c r="B57" s="15">
        <f>'System Parameters'!B8</f>
        <v>0.429</v>
      </c>
      <c r="C57" s="20" t="str">
        <f>'System Parameters'!C8</f>
        <v>mW</v>
      </c>
      <c r="D57" s="15">
        <f t="shared" ref="D57:D76" si="3">$B57</f>
        <v>0.429</v>
      </c>
      <c r="E57" s="20">
        <f>$B57*0.9</f>
        <v>0.3861</v>
      </c>
      <c r="F57" s="15">
        <f t="shared" ref="F57:O57" si="2">$B57</f>
        <v>0.429</v>
      </c>
      <c r="G57" s="15">
        <f t="shared" si="2"/>
        <v>0.429</v>
      </c>
      <c r="H57" s="15">
        <f t="shared" si="2"/>
        <v>0.429</v>
      </c>
      <c r="I57" s="15">
        <f t="shared" si="2"/>
        <v>0.429</v>
      </c>
      <c r="J57" s="15">
        <f t="shared" si="2"/>
        <v>0.429</v>
      </c>
      <c r="K57" s="15">
        <f t="shared" si="2"/>
        <v>0.429</v>
      </c>
      <c r="L57" s="15">
        <f t="shared" si="2"/>
        <v>0.429</v>
      </c>
      <c r="M57" s="15">
        <f t="shared" si="2"/>
        <v>0.429</v>
      </c>
      <c r="N57" s="15">
        <f t="shared" si="2"/>
        <v>0.429</v>
      </c>
      <c r="O57" s="15">
        <f t="shared" si="2"/>
        <v>0.429</v>
      </c>
      <c r="T57" s="26">
        <f>'System Parameters'!E8</f>
        <v>0.8</v>
      </c>
      <c r="U57" s="26">
        <f>'System Parameters'!F8</f>
        <v>0.2</v>
      </c>
      <c r="V57" s="26">
        <f>'System Parameters'!G8</f>
        <v>0</v>
      </c>
      <c r="W57" s="20" t="str">
        <f>'System Parameters'!H8</f>
        <v/>
      </c>
    </row>
    <row r="58">
      <c r="A58" s="20" t="str">
        <f>'System Parameters'!A9</f>
        <v>Sleep</v>
      </c>
      <c r="B58" s="15">
        <f>'System Parameters'!B9</f>
        <v>0.0165</v>
      </c>
      <c r="C58" s="20" t="str">
        <f>'System Parameters'!C9</f>
        <v>mW</v>
      </c>
      <c r="D58" s="15">
        <f t="shared" si="3"/>
        <v>0.0165</v>
      </c>
      <c r="E58" s="15">
        <f t="shared" ref="E58:E76" si="5">$B58</f>
        <v>0.0165</v>
      </c>
      <c r="F58" s="20">
        <f>$B58*0.9</f>
        <v>0.01485</v>
      </c>
      <c r="G58" s="15">
        <f t="shared" ref="G58:O58" si="4">$B58</f>
        <v>0.0165</v>
      </c>
      <c r="H58" s="15">
        <f t="shared" si="4"/>
        <v>0.0165</v>
      </c>
      <c r="I58" s="15">
        <f t="shared" si="4"/>
        <v>0.0165</v>
      </c>
      <c r="J58" s="15">
        <f t="shared" si="4"/>
        <v>0.0165</v>
      </c>
      <c r="K58" s="15">
        <f t="shared" si="4"/>
        <v>0.0165</v>
      </c>
      <c r="L58" s="15">
        <f t="shared" si="4"/>
        <v>0.0165</v>
      </c>
      <c r="M58" s="15">
        <f t="shared" si="4"/>
        <v>0.0165</v>
      </c>
      <c r="N58" s="15">
        <f t="shared" si="4"/>
        <v>0.0165</v>
      </c>
      <c r="O58" s="15">
        <f t="shared" si="4"/>
        <v>0.0165</v>
      </c>
      <c r="T58" s="26">
        <f>'System Parameters'!E9</f>
        <v>1</v>
      </c>
      <c r="U58" s="26">
        <f>'System Parameters'!F9</f>
        <v>0</v>
      </c>
      <c r="V58" s="26">
        <f>'System Parameters'!G9</f>
        <v>0</v>
      </c>
      <c r="W58" s="20" t="str">
        <f>'System Parameters'!H9</f>
        <v/>
      </c>
    </row>
    <row r="59">
      <c r="A59" s="20" t="str">
        <f>'System Parameters'!A10</f>
        <v/>
      </c>
      <c r="B59" s="20" t="str">
        <f>'System Parameters'!B10</f>
        <v/>
      </c>
      <c r="C59" s="20" t="str">
        <f>'System Parameters'!C10</f>
        <v/>
      </c>
      <c r="D59" s="20" t="str">
        <f t="shared" si="3"/>
        <v/>
      </c>
      <c r="E59" s="20" t="str">
        <f t="shared" si="5"/>
        <v/>
      </c>
      <c r="F59" s="20" t="str">
        <f t="shared" ref="F59:O59" si="6">$B59</f>
        <v/>
      </c>
      <c r="G59" s="20" t="str">
        <f t="shared" si="6"/>
        <v/>
      </c>
      <c r="H59" s="20" t="str">
        <f t="shared" si="6"/>
        <v/>
      </c>
      <c r="I59" s="20" t="str">
        <f t="shared" si="6"/>
        <v/>
      </c>
      <c r="J59" s="20" t="str">
        <f t="shared" si="6"/>
        <v/>
      </c>
      <c r="K59" s="20" t="str">
        <f t="shared" si="6"/>
        <v/>
      </c>
      <c r="L59" s="20" t="str">
        <f t="shared" si="6"/>
        <v/>
      </c>
      <c r="M59" s="20" t="str">
        <f t="shared" si="6"/>
        <v/>
      </c>
      <c r="N59" s="20" t="str">
        <f t="shared" si="6"/>
        <v/>
      </c>
      <c r="O59" s="20" t="str">
        <f t="shared" si="6"/>
        <v/>
      </c>
      <c r="T59" s="20" t="str">
        <f>'System Parameters'!E10</f>
        <v/>
      </c>
      <c r="U59" s="20" t="str">
        <f>'System Parameters'!F10</f>
        <v/>
      </c>
      <c r="V59" s="20" t="str">
        <f>'System Parameters'!G10</f>
        <v/>
      </c>
      <c r="W59" s="20" t="str">
        <f>'System Parameters'!H10</f>
        <v/>
      </c>
    </row>
    <row r="60">
      <c r="A60" s="20" t="str">
        <f>'System Parameters'!A11</f>
        <v>LED</v>
      </c>
      <c r="B60" s="20" t="str">
        <f>'System Parameters'!B11</f>
        <v/>
      </c>
      <c r="C60" s="20" t="str">
        <f>'System Parameters'!C11</f>
        <v/>
      </c>
      <c r="D60" s="20" t="str">
        <f t="shared" si="3"/>
        <v/>
      </c>
      <c r="E60" s="20" t="str">
        <f t="shared" si="5"/>
        <v/>
      </c>
      <c r="F60" s="20" t="str">
        <f t="shared" ref="F60:O60" si="7">$B60</f>
        <v/>
      </c>
      <c r="G60" s="20" t="str">
        <f t="shared" si="7"/>
        <v/>
      </c>
      <c r="H60" s="20" t="str">
        <f t="shared" si="7"/>
        <v/>
      </c>
      <c r="I60" s="20" t="str">
        <f t="shared" si="7"/>
        <v/>
      </c>
      <c r="J60" s="20" t="str">
        <f t="shared" si="7"/>
        <v/>
      </c>
      <c r="K60" s="20" t="str">
        <f t="shared" si="7"/>
        <v/>
      </c>
      <c r="L60" s="20" t="str">
        <f t="shared" si="7"/>
        <v/>
      </c>
      <c r="M60" s="20" t="str">
        <f t="shared" si="7"/>
        <v/>
      </c>
      <c r="N60" s="20" t="str">
        <f t="shared" si="7"/>
        <v/>
      </c>
      <c r="O60" s="20" t="str">
        <f t="shared" si="7"/>
        <v/>
      </c>
      <c r="T60" s="20" t="str">
        <f>'System Parameters'!E11</f>
        <v/>
      </c>
      <c r="U60" s="20" t="str">
        <f>'System Parameters'!F11</f>
        <v/>
      </c>
      <c r="V60" s="20" t="str">
        <f>'System Parameters'!G11</f>
        <v/>
      </c>
      <c r="W60" s="20" t="str">
        <f>'System Parameters'!H11</f>
        <v/>
      </c>
    </row>
    <row r="61">
      <c r="A61" s="20" t="str">
        <f>'System Parameters'!A12</f>
        <v>On</v>
      </c>
      <c r="B61" s="15">
        <f>'System Parameters'!B12</f>
        <v>198</v>
      </c>
      <c r="C61" s="20" t="str">
        <f>'System Parameters'!C12</f>
        <v>mW</v>
      </c>
      <c r="D61" s="15">
        <f t="shared" si="3"/>
        <v>198</v>
      </c>
      <c r="E61" s="15">
        <f t="shared" si="5"/>
        <v>198</v>
      </c>
      <c r="F61" s="15">
        <f t="shared" ref="F61:F76" si="9">$B61</f>
        <v>198</v>
      </c>
      <c r="G61" s="20">
        <f>$B61*0.9</f>
        <v>178.2</v>
      </c>
      <c r="H61" s="15">
        <f t="shared" ref="H61:O61" si="8">$B61</f>
        <v>198</v>
      </c>
      <c r="I61" s="15">
        <f t="shared" si="8"/>
        <v>198</v>
      </c>
      <c r="J61" s="15">
        <f t="shared" si="8"/>
        <v>198</v>
      </c>
      <c r="K61" s="15">
        <f t="shared" si="8"/>
        <v>198</v>
      </c>
      <c r="L61" s="15">
        <f t="shared" si="8"/>
        <v>198</v>
      </c>
      <c r="M61" s="15">
        <f t="shared" si="8"/>
        <v>198</v>
      </c>
      <c r="N61" s="15">
        <f t="shared" si="8"/>
        <v>198</v>
      </c>
      <c r="O61" s="15">
        <f t="shared" si="8"/>
        <v>198</v>
      </c>
      <c r="T61" s="26">
        <f>'System Parameters'!E12</f>
        <v>0</v>
      </c>
      <c r="U61" s="26">
        <f>'System Parameters'!F12</f>
        <v>1</v>
      </c>
      <c r="V61" s="26">
        <f>'System Parameters'!G12</f>
        <v>0</v>
      </c>
      <c r="W61" s="20" t="str">
        <f>'System Parameters'!H12</f>
        <v/>
      </c>
    </row>
    <row r="62">
      <c r="A62" s="20" t="str">
        <f>'System Parameters'!A13</f>
        <v/>
      </c>
      <c r="B62" s="15" t="str">
        <f>'System Parameters'!B13</f>
        <v/>
      </c>
      <c r="C62" s="20" t="str">
        <f>'System Parameters'!C13</f>
        <v/>
      </c>
      <c r="D62" s="15" t="str">
        <f t="shared" si="3"/>
        <v/>
      </c>
      <c r="E62" s="15" t="str">
        <f t="shared" si="5"/>
        <v/>
      </c>
      <c r="F62" s="15" t="str">
        <f t="shared" si="9"/>
        <v/>
      </c>
      <c r="G62" s="15" t="str">
        <f t="shared" ref="G62:O62" si="10">$B62</f>
        <v/>
      </c>
      <c r="H62" s="15" t="str">
        <f t="shared" si="10"/>
        <v/>
      </c>
      <c r="I62" s="15" t="str">
        <f t="shared" si="10"/>
        <v/>
      </c>
      <c r="J62" s="15" t="str">
        <f t="shared" si="10"/>
        <v/>
      </c>
      <c r="K62" s="15" t="str">
        <f t="shared" si="10"/>
        <v/>
      </c>
      <c r="L62" s="15" t="str">
        <f t="shared" si="10"/>
        <v/>
      </c>
      <c r="M62" s="15" t="str">
        <f t="shared" si="10"/>
        <v/>
      </c>
      <c r="N62" s="15" t="str">
        <f t="shared" si="10"/>
        <v/>
      </c>
      <c r="O62" s="15" t="str">
        <f t="shared" si="10"/>
        <v/>
      </c>
      <c r="T62" s="20" t="str">
        <f>'System Parameters'!E13</f>
        <v/>
      </c>
      <c r="U62" s="20" t="str">
        <f>'System Parameters'!F13</f>
        <v/>
      </c>
      <c r="V62" s="20" t="str">
        <f>'System Parameters'!G13</f>
        <v/>
      </c>
      <c r="W62" s="20" t="str">
        <f>'System Parameters'!H13</f>
        <v/>
      </c>
    </row>
    <row r="63">
      <c r="A63" s="20" t="str">
        <f>'System Parameters'!A14</f>
        <v/>
      </c>
      <c r="B63" s="15" t="str">
        <f>'System Parameters'!B14</f>
        <v/>
      </c>
      <c r="C63" s="20" t="str">
        <f>'System Parameters'!C14</f>
        <v/>
      </c>
      <c r="D63" s="15" t="str">
        <f t="shared" si="3"/>
        <v/>
      </c>
      <c r="E63" s="15" t="str">
        <f t="shared" si="5"/>
        <v/>
      </c>
      <c r="F63" s="15" t="str">
        <f t="shared" si="9"/>
        <v/>
      </c>
      <c r="G63" s="15" t="str">
        <f t="shared" ref="G63:O63" si="11">$B63</f>
        <v/>
      </c>
      <c r="H63" s="15" t="str">
        <f t="shared" si="11"/>
        <v/>
      </c>
      <c r="I63" s="15" t="str">
        <f t="shared" si="11"/>
        <v/>
      </c>
      <c r="J63" s="15" t="str">
        <f t="shared" si="11"/>
        <v/>
      </c>
      <c r="K63" s="15" t="str">
        <f t="shared" si="11"/>
        <v/>
      </c>
      <c r="L63" s="15" t="str">
        <f t="shared" si="11"/>
        <v/>
      </c>
      <c r="M63" s="15" t="str">
        <f t="shared" si="11"/>
        <v/>
      </c>
      <c r="N63" s="15" t="str">
        <f t="shared" si="11"/>
        <v/>
      </c>
      <c r="O63" s="15" t="str">
        <f t="shared" si="11"/>
        <v/>
      </c>
      <c r="T63" s="20" t="str">
        <f>'System Parameters'!E14</f>
        <v/>
      </c>
      <c r="U63" s="20" t="str">
        <f>'System Parameters'!F14</f>
        <v/>
      </c>
      <c r="V63" s="20" t="str">
        <f>'System Parameters'!G14</f>
        <v/>
      </c>
      <c r="W63" s="20" t="str">
        <f>'System Parameters'!H14</f>
        <v/>
      </c>
    </row>
    <row r="64">
      <c r="A64" s="20" t="str">
        <f>'System Parameters'!A15</f>
        <v>Sensor</v>
      </c>
      <c r="B64" s="15" t="str">
        <f>'System Parameters'!B15</f>
        <v/>
      </c>
      <c r="C64" s="20" t="str">
        <f>'System Parameters'!C15</f>
        <v/>
      </c>
      <c r="D64" s="15" t="str">
        <f t="shared" si="3"/>
        <v/>
      </c>
      <c r="E64" s="15" t="str">
        <f t="shared" si="5"/>
        <v/>
      </c>
      <c r="F64" s="15" t="str">
        <f t="shared" si="9"/>
        <v/>
      </c>
      <c r="G64" s="15" t="str">
        <f t="shared" ref="G64:O64" si="12">$B64</f>
        <v/>
      </c>
      <c r="H64" s="15" t="str">
        <f t="shared" si="12"/>
        <v/>
      </c>
      <c r="I64" s="15" t="str">
        <f t="shared" si="12"/>
        <v/>
      </c>
      <c r="J64" s="15" t="str">
        <f t="shared" si="12"/>
        <v/>
      </c>
      <c r="K64" s="15" t="str">
        <f t="shared" si="12"/>
        <v/>
      </c>
      <c r="L64" s="15" t="str">
        <f t="shared" si="12"/>
        <v/>
      </c>
      <c r="M64" s="15" t="str">
        <f t="shared" si="12"/>
        <v/>
      </c>
      <c r="N64" s="15" t="str">
        <f t="shared" si="12"/>
        <v/>
      </c>
      <c r="O64" s="15" t="str">
        <f t="shared" si="12"/>
        <v/>
      </c>
      <c r="T64" s="20" t="str">
        <f>'System Parameters'!E15</f>
        <v/>
      </c>
      <c r="U64" s="20" t="str">
        <f>'System Parameters'!F15</f>
        <v/>
      </c>
      <c r="V64" s="20" t="str">
        <f>'System Parameters'!G15</f>
        <v/>
      </c>
      <c r="W64" s="20" t="str">
        <f>'System Parameters'!H15</f>
        <v/>
      </c>
    </row>
    <row r="65">
      <c r="A65" s="20" t="str">
        <f>'System Parameters'!A16</f>
        <v>On</v>
      </c>
      <c r="B65" s="15">
        <f>'System Parameters'!B16</f>
        <v>69.3</v>
      </c>
      <c r="C65" s="20" t="str">
        <f>'System Parameters'!C16</f>
        <v>mW</v>
      </c>
      <c r="D65" s="15">
        <f t="shared" si="3"/>
        <v>69.3</v>
      </c>
      <c r="E65" s="15">
        <f t="shared" si="5"/>
        <v>69.3</v>
      </c>
      <c r="F65" s="15">
        <f t="shared" si="9"/>
        <v>69.3</v>
      </c>
      <c r="G65" s="15">
        <f t="shared" ref="G65:G76" si="14">$B65</f>
        <v>69.3</v>
      </c>
      <c r="H65" s="20">
        <f>$B65*0.9</f>
        <v>62.37</v>
      </c>
      <c r="I65" s="15">
        <f t="shared" ref="I65:O65" si="13">$B65</f>
        <v>69.3</v>
      </c>
      <c r="J65" s="15">
        <f t="shared" si="13"/>
        <v>69.3</v>
      </c>
      <c r="K65" s="15">
        <f t="shared" si="13"/>
        <v>69.3</v>
      </c>
      <c r="L65" s="15">
        <f t="shared" si="13"/>
        <v>69.3</v>
      </c>
      <c r="M65" s="15">
        <f t="shared" si="13"/>
        <v>69.3</v>
      </c>
      <c r="N65" s="15">
        <f t="shared" si="13"/>
        <v>69.3</v>
      </c>
      <c r="O65" s="15">
        <f t="shared" si="13"/>
        <v>69.3</v>
      </c>
      <c r="T65" s="26">
        <f>'System Parameters'!E16</f>
        <v>0</v>
      </c>
      <c r="U65" s="26">
        <f>'System Parameters'!F16</f>
        <v>1</v>
      </c>
      <c r="V65" s="26">
        <f>'System Parameters'!G16</f>
        <v>0</v>
      </c>
      <c r="W65" s="20" t="str">
        <f>'System Parameters'!H16</f>
        <v/>
      </c>
    </row>
    <row r="66">
      <c r="A66" s="20" t="str">
        <f>'System Parameters'!A17</f>
        <v>Idle</v>
      </c>
      <c r="B66" s="15">
        <f>'System Parameters'!B17</f>
        <v>0.0297</v>
      </c>
      <c r="C66" s="20" t="str">
        <f>'System Parameters'!C17</f>
        <v>mW</v>
      </c>
      <c r="D66" s="15">
        <f t="shared" si="3"/>
        <v>0.0297</v>
      </c>
      <c r="E66" s="15">
        <f t="shared" si="5"/>
        <v>0.0297</v>
      </c>
      <c r="F66" s="15">
        <f t="shared" si="9"/>
        <v>0.0297</v>
      </c>
      <c r="G66" s="15">
        <f t="shared" si="14"/>
        <v>0.0297</v>
      </c>
      <c r="H66" s="15">
        <f t="shared" ref="H66:H76" si="16">$B66</f>
        <v>0.0297</v>
      </c>
      <c r="I66" s="20">
        <f>$B66*0.9</f>
        <v>0.02673</v>
      </c>
      <c r="J66" s="15">
        <f t="shared" ref="J66:O66" si="15">$B66</f>
        <v>0.0297</v>
      </c>
      <c r="K66" s="15">
        <f t="shared" si="15"/>
        <v>0.0297</v>
      </c>
      <c r="L66" s="15">
        <f t="shared" si="15"/>
        <v>0.0297</v>
      </c>
      <c r="M66" s="15">
        <f t="shared" si="15"/>
        <v>0.0297</v>
      </c>
      <c r="N66" s="15">
        <f t="shared" si="15"/>
        <v>0.0297</v>
      </c>
      <c r="O66" s="15">
        <f t="shared" si="15"/>
        <v>0.0297</v>
      </c>
      <c r="T66" s="26">
        <f>'System Parameters'!E17</f>
        <v>0</v>
      </c>
      <c r="U66" s="26">
        <f>'System Parameters'!F17</f>
        <v>0.1</v>
      </c>
      <c r="V66" s="26">
        <f>'System Parameters'!G17</f>
        <v>0.9</v>
      </c>
      <c r="W66" s="20" t="str">
        <f>'System Parameters'!H17</f>
        <v/>
      </c>
    </row>
    <row r="67">
      <c r="A67" s="20" t="str">
        <f>'System Parameters'!A18</f>
        <v>Off</v>
      </c>
      <c r="B67" s="15">
        <f>'System Parameters'!B18</f>
        <v>0.0231</v>
      </c>
      <c r="C67" s="20" t="str">
        <f>'System Parameters'!C18</f>
        <v>mW</v>
      </c>
      <c r="D67" s="15">
        <f t="shared" si="3"/>
        <v>0.0231</v>
      </c>
      <c r="E67" s="15">
        <f t="shared" si="5"/>
        <v>0.0231</v>
      </c>
      <c r="F67" s="15">
        <f t="shared" si="9"/>
        <v>0.0231</v>
      </c>
      <c r="G67" s="15">
        <f t="shared" si="14"/>
        <v>0.0231</v>
      </c>
      <c r="H67" s="15">
        <f t="shared" si="16"/>
        <v>0.0231</v>
      </c>
      <c r="I67" s="15">
        <f t="shared" ref="I67:I76" si="18">$B67</f>
        <v>0.0231</v>
      </c>
      <c r="J67" s="20">
        <f>$B67*0.9</f>
        <v>0.02079</v>
      </c>
      <c r="K67" s="15">
        <f t="shared" ref="K67:O67" si="17">$B67</f>
        <v>0.0231</v>
      </c>
      <c r="L67" s="15">
        <f t="shared" si="17"/>
        <v>0.0231</v>
      </c>
      <c r="M67" s="15">
        <f t="shared" si="17"/>
        <v>0.0231</v>
      </c>
      <c r="N67" s="15">
        <f t="shared" si="17"/>
        <v>0.0231</v>
      </c>
      <c r="O67" s="15">
        <f t="shared" si="17"/>
        <v>0.0231</v>
      </c>
      <c r="T67" s="26">
        <f>'System Parameters'!E18</f>
        <v>1</v>
      </c>
      <c r="U67" s="26">
        <f>'System Parameters'!F18</f>
        <v>0</v>
      </c>
      <c r="V67" s="26">
        <f>'System Parameters'!G18</f>
        <v>0</v>
      </c>
      <c r="W67" s="20" t="str">
        <f>'System Parameters'!H18</f>
        <v/>
      </c>
    </row>
    <row r="68">
      <c r="A68" s="20" t="str">
        <f>'System Parameters'!A19</f>
        <v/>
      </c>
      <c r="B68" s="15" t="str">
        <f>'System Parameters'!B19</f>
        <v/>
      </c>
      <c r="C68" s="20" t="str">
        <f>'System Parameters'!C19</f>
        <v/>
      </c>
      <c r="D68" s="15" t="str">
        <f t="shared" si="3"/>
        <v/>
      </c>
      <c r="E68" s="15" t="str">
        <f t="shared" si="5"/>
        <v/>
      </c>
      <c r="F68" s="15" t="str">
        <f t="shared" si="9"/>
        <v/>
      </c>
      <c r="G68" s="15" t="str">
        <f t="shared" si="14"/>
        <v/>
      </c>
      <c r="H68" s="15" t="str">
        <f t="shared" si="16"/>
        <v/>
      </c>
      <c r="I68" s="15" t="str">
        <f t="shared" si="18"/>
        <v/>
      </c>
      <c r="J68" s="15" t="str">
        <f t="shared" ref="J68:O68" si="19">$B68</f>
        <v/>
      </c>
      <c r="K68" s="15" t="str">
        <f t="shared" si="19"/>
        <v/>
      </c>
      <c r="L68" s="15" t="str">
        <f t="shared" si="19"/>
        <v/>
      </c>
      <c r="M68" s="15" t="str">
        <f t="shared" si="19"/>
        <v/>
      </c>
      <c r="N68" s="15" t="str">
        <f t="shared" si="19"/>
        <v/>
      </c>
      <c r="O68" s="15" t="str">
        <f t="shared" si="19"/>
        <v/>
      </c>
      <c r="T68" s="20" t="str">
        <f>'System Parameters'!E19</f>
        <v/>
      </c>
      <c r="U68" s="20" t="str">
        <f>'System Parameters'!F19</f>
        <v/>
      </c>
      <c r="V68" s="20" t="str">
        <f>'System Parameters'!G19</f>
        <v/>
      </c>
      <c r="W68" s="20" t="str">
        <f>'System Parameters'!H19</f>
        <v/>
      </c>
    </row>
    <row r="69">
      <c r="A69" s="20" t="str">
        <f>'System Parameters'!A20</f>
        <v>Display</v>
      </c>
      <c r="B69" s="15" t="str">
        <f>'System Parameters'!B20</f>
        <v/>
      </c>
      <c r="C69" s="20" t="str">
        <f>'System Parameters'!C20</f>
        <v/>
      </c>
      <c r="D69" s="15" t="str">
        <f t="shared" si="3"/>
        <v/>
      </c>
      <c r="E69" s="15" t="str">
        <f t="shared" si="5"/>
        <v/>
      </c>
      <c r="F69" s="15" t="str">
        <f t="shared" si="9"/>
        <v/>
      </c>
      <c r="G69" s="15" t="str">
        <f t="shared" si="14"/>
        <v/>
      </c>
      <c r="H69" s="15" t="str">
        <f t="shared" si="16"/>
        <v/>
      </c>
      <c r="I69" s="15" t="str">
        <f t="shared" si="18"/>
        <v/>
      </c>
      <c r="J69" s="15" t="str">
        <f t="shared" ref="J69:O69" si="20">$B69</f>
        <v/>
      </c>
      <c r="K69" s="15" t="str">
        <f t="shared" si="20"/>
        <v/>
      </c>
      <c r="L69" s="15" t="str">
        <f t="shared" si="20"/>
        <v/>
      </c>
      <c r="M69" s="15" t="str">
        <f t="shared" si="20"/>
        <v/>
      </c>
      <c r="N69" s="15" t="str">
        <f t="shared" si="20"/>
        <v/>
      </c>
      <c r="O69" s="15" t="str">
        <f t="shared" si="20"/>
        <v/>
      </c>
      <c r="T69" s="20" t="str">
        <f>'System Parameters'!E20</f>
        <v/>
      </c>
      <c r="U69" s="20" t="str">
        <f>'System Parameters'!F20</f>
        <v/>
      </c>
      <c r="V69" s="20" t="str">
        <f>'System Parameters'!G20</f>
        <v/>
      </c>
      <c r="W69" s="20" t="str">
        <f>'System Parameters'!H20</f>
        <v/>
      </c>
    </row>
    <row r="70">
      <c r="A70" s="20" t="str">
        <f>'System Parameters'!A21</f>
        <v>On</v>
      </c>
      <c r="B70" s="15">
        <f>'System Parameters'!B21</f>
        <v>102.465</v>
      </c>
      <c r="C70" s="20" t="str">
        <f>'System Parameters'!C21</f>
        <v>mW</v>
      </c>
      <c r="D70" s="15">
        <f t="shared" si="3"/>
        <v>102.465</v>
      </c>
      <c r="E70" s="15">
        <f t="shared" si="5"/>
        <v>102.465</v>
      </c>
      <c r="F70" s="15">
        <f t="shared" si="9"/>
        <v>102.465</v>
      </c>
      <c r="G70" s="15">
        <f t="shared" si="14"/>
        <v>102.465</v>
      </c>
      <c r="H70" s="15">
        <f t="shared" si="16"/>
        <v>102.465</v>
      </c>
      <c r="I70" s="15">
        <f t="shared" si="18"/>
        <v>102.465</v>
      </c>
      <c r="J70" s="15">
        <f t="shared" ref="J70:J76" si="22">$B70</f>
        <v>102.465</v>
      </c>
      <c r="K70" s="20">
        <f>$B70*0.9</f>
        <v>92.2185</v>
      </c>
      <c r="L70" s="15">
        <f t="shared" ref="L70:O70" si="21">$B70</f>
        <v>102.465</v>
      </c>
      <c r="M70" s="15">
        <f t="shared" si="21"/>
        <v>102.465</v>
      </c>
      <c r="N70" s="15">
        <f t="shared" si="21"/>
        <v>102.465</v>
      </c>
      <c r="O70" s="15">
        <f t="shared" si="21"/>
        <v>102.465</v>
      </c>
      <c r="T70" s="26">
        <f>'System Parameters'!E21</f>
        <v>0</v>
      </c>
      <c r="U70" s="26">
        <f>'System Parameters'!F21</f>
        <v>0.5</v>
      </c>
      <c r="V70" s="26">
        <f>'System Parameters'!G21</f>
        <v>0.5</v>
      </c>
      <c r="W70" s="20" t="str">
        <f>'System Parameters'!H21</f>
        <v/>
      </c>
    </row>
    <row r="71">
      <c r="A71" s="20" t="str">
        <f>'System Parameters'!A22</f>
        <v>Off (leakage)</v>
      </c>
      <c r="B71" s="15">
        <f>'System Parameters'!B22</f>
        <v>56.694</v>
      </c>
      <c r="C71" s="20" t="str">
        <f>'System Parameters'!C22</f>
        <v>mW</v>
      </c>
      <c r="D71" s="15">
        <f t="shared" si="3"/>
        <v>56.694</v>
      </c>
      <c r="E71" s="15">
        <f t="shared" si="5"/>
        <v>56.694</v>
      </c>
      <c r="F71" s="15">
        <f t="shared" si="9"/>
        <v>56.694</v>
      </c>
      <c r="G71" s="15">
        <f t="shared" si="14"/>
        <v>56.694</v>
      </c>
      <c r="H71" s="15">
        <f t="shared" si="16"/>
        <v>56.694</v>
      </c>
      <c r="I71" s="15">
        <f t="shared" si="18"/>
        <v>56.694</v>
      </c>
      <c r="J71" s="15">
        <f t="shared" si="22"/>
        <v>56.694</v>
      </c>
      <c r="K71" s="15">
        <f t="shared" ref="K71:K76" si="24">$B71</f>
        <v>56.694</v>
      </c>
      <c r="L71" s="20">
        <f>$B71*0.9</f>
        <v>51.0246</v>
      </c>
      <c r="M71" s="15">
        <f t="shared" ref="M71:O71" si="23">$B71</f>
        <v>56.694</v>
      </c>
      <c r="N71" s="15">
        <f t="shared" si="23"/>
        <v>56.694</v>
      </c>
      <c r="O71" s="15">
        <f t="shared" si="23"/>
        <v>56.694</v>
      </c>
      <c r="T71" s="26">
        <f>'System Parameters'!E22</f>
        <v>0.9</v>
      </c>
      <c r="U71" s="26">
        <f>'System Parameters'!F22</f>
        <v>0.05</v>
      </c>
      <c r="V71" s="26">
        <f>'System Parameters'!G22</f>
        <v>0.05</v>
      </c>
      <c r="W71" s="20" t="str">
        <f>'System Parameters'!H22</f>
        <v/>
      </c>
    </row>
    <row r="72">
      <c r="A72" s="20" t="str">
        <f>'System Parameters'!A23</f>
        <v/>
      </c>
      <c r="B72" s="20" t="str">
        <f>'System Parameters'!B23</f>
        <v/>
      </c>
      <c r="C72" s="20" t="str">
        <f>'System Parameters'!C23</f>
        <v/>
      </c>
      <c r="D72" s="20" t="str">
        <f t="shared" si="3"/>
        <v/>
      </c>
      <c r="E72" s="20" t="str">
        <f t="shared" si="5"/>
        <v/>
      </c>
      <c r="F72" s="20" t="str">
        <f t="shared" si="9"/>
        <v/>
      </c>
      <c r="G72" s="20" t="str">
        <f t="shared" si="14"/>
        <v/>
      </c>
      <c r="H72" s="20" t="str">
        <f t="shared" si="16"/>
        <v/>
      </c>
      <c r="I72" s="20" t="str">
        <f t="shared" si="18"/>
        <v/>
      </c>
      <c r="J72" s="20" t="str">
        <f t="shared" si="22"/>
        <v/>
      </c>
      <c r="K72" s="20" t="str">
        <f t="shared" si="24"/>
        <v/>
      </c>
      <c r="L72" s="20" t="str">
        <f t="shared" ref="L72:O72" si="25">$B72</f>
        <v/>
      </c>
      <c r="M72" s="20" t="str">
        <f t="shared" si="25"/>
        <v/>
      </c>
      <c r="N72" s="20" t="str">
        <f t="shared" si="25"/>
        <v/>
      </c>
      <c r="O72" s="20" t="str">
        <f t="shared" si="25"/>
        <v/>
      </c>
      <c r="T72" s="20" t="str">
        <f>'System Parameters'!E23</f>
        <v/>
      </c>
      <c r="U72" s="20" t="str">
        <f>'System Parameters'!F23</f>
        <v/>
      </c>
      <c r="V72" s="20" t="str">
        <f>'System Parameters'!G23</f>
        <v/>
      </c>
      <c r="W72" s="20" t="str">
        <f>'System Parameters'!H23</f>
        <v/>
      </c>
    </row>
    <row r="73">
      <c r="A73" s="20" t="str">
        <f>'System Parameters'!A24</f>
        <v>Radio</v>
      </c>
      <c r="B73" s="20" t="str">
        <f>'System Parameters'!B24</f>
        <v/>
      </c>
      <c r="C73" s="20" t="str">
        <f>'System Parameters'!C24</f>
        <v/>
      </c>
      <c r="D73" s="20" t="str">
        <f t="shared" si="3"/>
        <v/>
      </c>
      <c r="E73" s="20" t="str">
        <f t="shared" si="5"/>
        <v/>
      </c>
      <c r="F73" s="20" t="str">
        <f t="shared" si="9"/>
        <v/>
      </c>
      <c r="G73" s="20" t="str">
        <f t="shared" si="14"/>
        <v/>
      </c>
      <c r="H73" s="20" t="str">
        <f t="shared" si="16"/>
        <v/>
      </c>
      <c r="I73" s="20" t="str">
        <f t="shared" si="18"/>
        <v/>
      </c>
      <c r="J73" s="20" t="str">
        <f t="shared" si="22"/>
        <v/>
      </c>
      <c r="K73" s="20" t="str">
        <f t="shared" si="24"/>
        <v/>
      </c>
      <c r="L73" s="20" t="str">
        <f t="shared" ref="L73:O73" si="26">$B73</f>
        <v/>
      </c>
      <c r="M73" s="20" t="str">
        <f t="shared" si="26"/>
        <v/>
      </c>
      <c r="N73" s="20" t="str">
        <f t="shared" si="26"/>
        <v/>
      </c>
      <c r="O73" s="20" t="str">
        <f t="shared" si="26"/>
        <v/>
      </c>
      <c r="T73" s="20" t="str">
        <f>'System Parameters'!E24</f>
        <v/>
      </c>
      <c r="U73" s="20" t="str">
        <f>'System Parameters'!F24</f>
        <v/>
      </c>
      <c r="V73" s="20" t="str">
        <f>'System Parameters'!G24</f>
        <v/>
      </c>
      <c r="W73" s="20" t="str">
        <f>'System Parameters'!H24</f>
        <v/>
      </c>
    </row>
    <row r="74">
      <c r="A74" s="20" t="str">
        <f>'System Parameters'!A26</f>
        <v>Standby Power</v>
      </c>
      <c r="B74" s="15">
        <f>'System Parameters'!B26</f>
        <v>0</v>
      </c>
      <c r="C74" s="20" t="str">
        <f>'System Parameters'!C26</f>
        <v>mW</v>
      </c>
      <c r="D74" s="15">
        <f t="shared" si="3"/>
        <v>0</v>
      </c>
      <c r="E74" s="15">
        <f t="shared" si="5"/>
        <v>0</v>
      </c>
      <c r="F74" s="15">
        <f t="shared" si="9"/>
        <v>0</v>
      </c>
      <c r="G74" s="15">
        <f t="shared" si="14"/>
        <v>0</v>
      </c>
      <c r="H74" s="15">
        <f t="shared" si="16"/>
        <v>0</v>
      </c>
      <c r="I74" s="15">
        <f t="shared" si="18"/>
        <v>0</v>
      </c>
      <c r="J74" s="15">
        <f t="shared" si="22"/>
        <v>0</v>
      </c>
      <c r="K74" s="15">
        <f t="shared" si="24"/>
        <v>0</v>
      </c>
      <c r="L74" s="15">
        <f t="shared" ref="L74:L76" si="28">$B74</f>
        <v>0</v>
      </c>
      <c r="M74" s="20">
        <f>$B74*0.9</f>
        <v>0</v>
      </c>
      <c r="N74" s="15">
        <f t="shared" ref="N74:O74" si="27">$B74</f>
        <v>0</v>
      </c>
      <c r="O74" s="15">
        <f t="shared" si="27"/>
        <v>0</v>
      </c>
      <c r="T74" s="26">
        <f>'System Parameters'!E26</f>
        <v>0.05</v>
      </c>
      <c r="U74" s="26">
        <f>'System Parameters'!F26</f>
        <v>0.9</v>
      </c>
      <c r="V74" s="26">
        <f>'System Parameters'!G26</f>
        <v>0.05</v>
      </c>
      <c r="W74" s="20" t="str">
        <f>'System Parameters'!H26</f>
        <v/>
      </c>
    </row>
    <row r="75">
      <c r="A75" s="20" t="str">
        <f>'System Parameters'!A27</f>
        <v>TX Power</v>
      </c>
      <c r="B75" s="15">
        <f>'System Parameters'!B27</f>
        <v>1105.5</v>
      </c>
      <c r="C75" s="20" t="str">
        <f>'System Parameters'!C27</f>
        <v>mW</v>
      </c>
      <c r="D75" s="15">
        <f t="shared" si="3"/>
        <v>1105.5</v>
      </c>
      <c r="E75" s="15">
        <f t="shared" si="5"/>
        <v>1105.5</v>
      </c>
      <c r="F75" s="15">
        <f t="shared" si="9"/>
        <v>1105.5</v>
      </c>
      <c r="G75" s="15">
        <f t="shared" si="14"/>
        <v>1105.5</v>
      </c>
      <c r="H75" s="15">
        <f t="shared" si="16"/>
        <v>1105.5</v>
      </c>
      <c r="I75" s="15">
        <f t="shared" si="18"/>
        <v>1105.5</v>
      </c>
      <c r="J75" s="15">
        <f t="shared" si="22"/>
        <v>1105.5</v>
      </c>
      <c r="K75" s="15">
        <f t="shared" si="24"/>
        <v>1105.5</v>
      </c>
      <c r="L75" s="15">
        <f t="shared" si="28"/>
        <v>1105.5</v>
      </c>
      <c r="M75" s="15">
        <f t="shared" ref="M75:M76" si="29">$B75</f>
        <v>1105.5</v>
      </c>
      <c r="N75" s="20">
        <f>$B75*0.9</f>
        <v>994.95</v>
      </c>
      <c r="O75" s="15">
        <f>$B75</f>
        <v>1105.5</v>
      </c>
      <c r="T75" s="26">
        <f>'System Parameters'!E27</f>
        <v>0</v>
      </c>
      <c r="U75" s="26">
        <f>'System Parameters'!F27</f>
        <v>1</v>
      </c>
      <c r="V75" s="26">
        <f>'System Parameters'!G27</f>
        <v>0</v>
      </c>
      <c r="W75" s="20" t="str">
        <f>'System Parameters'!H27</f>
        <v/>
      </c>
    </row>
    <row r="76">
      <c r="A76" s="20" t="str">
        <f>'System Parameters'!A28</f>
        <v>RX Power</v>
      </c>
      <c r="B76" s="15">
        <f>'System Parameters'!B28</f>
        <v>287.1</v>
      </c>
      <c r="C76" s="20" t="str">
        <f>'System Parameters'!C28</f>
        <v>mW</v>
      </c>
      <c r="D76" s="15">
        <f t="shared" si="3"/>
        <v>287.1</v>
      </c>
      <c r="E76" s="15">
        <f t="shared" si="5"/>
        <v>287.1</v>
      </c>
      <c r="F76" s="15">
        <f t="shared" si="9"/>
        <v>287.1</v>
      </c>
      <c r="G76" s="15">
        <f t="shared" si="14"/>
        <v>287.1</v>
      </c>
      <c r="H76" s="15">
        <f t="shared" si="16"/>
        <v>287.1</v>
      </c>
      <c r="I76" s="15">
        <f t="shared" si="18"/>
        <v>287.1</v>
      </c>
      <c r="J76" s="15">
        <f t="shared" si="22"/>
        <v>287.1</v>
      </c>
      <c r="K76" s="15">
        <f t="shared" si="24"/>
        <v>287.1</v>
      </c>
      <c r="L76" s="15">
        <f t="shared" si="28"/>
        <v>287.1</v>
      </c>
      <c r="M76" s="15">
        <f t="shared" si="29"/>
        <v>287.1</v>
      </c>
      <c r="N76" s="15">
        <f>$B76</f>
        <v>287.1</v>
      </c>
      <c r="O76" s="20">
        <f>$B76*0.9</f>
        <v>258.39</v>
      </c>
      <c r="T76" s="26">
        <f>'System Parameters'!E28</f>
        <v>0</v>
      </c>
      <c r="U76" s="26">
        <f>'System Parameters'!F28</f>
        <v>0</v>
      </c>
      <c r="V76" s="26">
        <f>'System Parameters'!G28</f>
        <v>1</v>
      </c>
      <c r="W76" s="20" t="str">
        <f>'System Parameters'!H28</f>
        <v/>
      </c>
    </row>
    <row r="77">
      <c r="A77" s="20" t="str">
        <f>'System Parameters'!A29</f>
        <v/>
      </c>
      <c r="B77" s="20" t="str">
        <f>'System Parameters'!B29</f>
        <v/>
      </c>
      <c r="C77" s="20" t="str">
        <f>'System Parameters'!C29</f>
        <v/>
      </c>
      <c r="D77" s="20" t="str">
        <f>'System Parameters'!D29</f>
        <v/>
      </c>
      <c r="T77" s="20" t="str">
        <f>'System Parameters'!E29</f>
        <v/>
      </c>
      <c r="U77" s="20" t="str">
        <f>'System Parameters'!F29</f>
        <v/>
      </c>
      <c r="V77" s="20" t="str">
        <f>'System Parameters'!G29</f>
        <v/>
      </c>
      <c r="W77" s="20" t="str">
        <f>'System Parameters'!H29</f>
        <v/>
      </c>
    </row>
    <row r="78">
      <c r="A78" s="20" t="str">
        <f>'System Parameters'!A30</f>
        <v/>
      </c>
      <c r="B78" s="20" t="str">
        <f>'System Parameters'!B30</f>
        <v/>
      </c>
      <c r="C78" s="20" t="str">
        <f>'System Parameters'!C30</f>
        <v/>
      </c>
      <c r="D78" s="20" t="str">
        <f>'System Parameters'!D30</f>
        <v/>
      </c>
      <c r="T78" s="20">
        <f>'System Parameters'!E30</f>
        <v>20</v>
      </c>
      <c r="U78" s="20">
        <f>'System Parameters'!F30</f>
        <v>2</v>
      </c>
      <c r="V78" s="20">
        <f>'System Parameters'!G30</f>
        <v>2</v>
      </c>
      <c r="W78" s="20" t="str">
        <f>'System Parameters'!H30</f>
        <v>hours/day typical usage</v>
      </c>
    </row>
    <row r="79">
      <c r="A79" s="20" t="str">
        <f>'System Parameters'!A31</f>
        <v>Battery</v>
      </c>
      <c r="B79" s="20" t="str">
        <f>'System Parameters'!B31</f>
        <v/>
      </c>
      <c r="C79" s="20" t="str">
        <f>'System Parameters'!C31</f>
        <v/>
      </c>
      <c r="D79" s="20" t="str">
        <f>'System Parameters'!D31</f>
        <v/>
      </c>
      <c r="T79" s="20" t="str">
        <f>'System Parameters'!E31</f>
        <v/>
      </c>
      <c r="U79" s="20" t="str">
        <f>'System Parameters'!F31</f>
        <v/>
      </c>
      <c r="V79" s="20" t="str">
        <f>'System Parameters'!G31</f>
        <v/>
      </c>
      <c r="W79" s="20" t="str">
        <f>'System Parameters'!H31</f>
        <v/>
      </c>
    </row>
    <row r="80">
      <c r="A80" s="20" t="str">
        <f>'System Parameters'!A32</f>
        <v>Capacity</v>
      </c>
      <c r="B80" s="15">
        <f>'System Parameters'!B32</f>
        <v>1892</v>
      </c>
      <c r="C80" s="20" t="str">
        <f>'System Parameters'!C32</f>
        <v>mAh</v>
      </c>
      <c r="D80" s="20" t="str">
        <f>'System Parameters'!D32</f>
        <v>Pout</v>
      </c>
      <c r="T80" s="20" t="str">
        <f>'System Parameters'!E32</f>
        <v>Pin</v>
      </c>
      <c r="U80" s="20" t="str">
        <f>'System Parameters'!F32</f>
        <v/>
      </c>
      <c r="V80" s="20" t="str">
        <f>'System Parameters'!G32</f>
        <v/>
      </c>
      <c r="W80" s="20" t="str">
        <f>'System Parameters'!H32</f>
        <v/>
      </c>
    </row>
    <row r="81">
      <c r="A81" s="20" t="str">
        <f>'System Parameters'!A33</f>
        <v>Nominal Voltage</v>
      </c>
      <c r="B81" s="15">
        <f>'System Parameters'!B33</f>
        <v>3.3</v>
      </c>
      <c r="C81" s="20" t="str">
        <f>'System Parameters'!C33</f>
        <v>V</v>
      </c>
      <c r="D81" s="15">
        <f>'System Parameters'!D33</f>
        <v>1372.8</v>
      </c>
      <c r="T81" s="15">
        <f>'System Parameters'!E33</f>
        <v>819.324</v>
      </c>
      <c r="U81" s="20" t="str">
        <f>'System Parameters'!F33</f>
        <v/>
      </c>
      <c r="V81" s="20" t="str">
        <f>'System Parameters'!G33</f>
        <v/>
      </c>
      <c r="W81" s="20" t="str">
        <f>'System Parameters'!H33</f>
        <v/>
      </c>
    </row>
    <row r="82">
      <c r="A82" s="20" t="str">
        <f>'System Parameters'!A34</f>
        <v>Regulator Efficiency</v>
      </c>
      <c r="B82" s="26">
        <f>'System Parameters'!B34</f>
        <v>1.67552763</v>
      </c>
      <c r="C82" s="20" t="str">
        <f>'System Parameters'!C34</f>
        <v/>
      </c>
      <c r="D82" s="20" t="str">
        <f>'System Parameters'!D34</f>
        <v/>
      </c>
      <c r="T82" s="20" t="str">
        <f>'System Parameters'!E34</f>
        <v/>
      </c>
      <c r="U82" s="20" t="str">
        <f>'System Parameters'!F34</f>
        <v/>
      </c>
      <c r="V82" s="20" t="str">
        <f>'System Parameters'!G34</f>
        <v/>
      </c>
      <c r="W82" s="20" t="str">
        <f>'System Parameters'!H34</f>
        <v/>
      </c>
    </row>
    <row r="83">
      <c r="A83" s="20" t="str">
        <f>'System Parameters'!A35</f>
        <v/>
      </c>
      <c r="B83" s="20" t="str">
        <f>'System Parameters'!B35</f>
        <v/>
      </c>
      <c r="C83" s="20" t="str">
        <f>'System Parameters'!C35</f>
        <v/>
      </c>
      <c r="D83" s="20" t="str">
        <f>'System Parameters'!D35</f>
        <v/>
      </c>
      <c r="O83" s="20" t="str">
        <f>'System Parameters'!E35</f>
        <v/>
      </c>
      <c r="P83" s="20" t="str">
        <f>'System Parameters'!F35</f>
        <v/>
      </c>
      <c r="Q83" s="20" t="str">
        <f>'System Parameters'!G35</f>
        <v/>
      </c>
      <c r="R83" s="20" t="str">
        <f>'System Parameters'!H35</f>
        <v/>
      </c>
      <c r="S83" s="20" t="str">
        <f>'System Parameters'!I35</f>
        <v/>
      </c>
      <c r="T83" s="20" t="str">
        <f>'System Parameters'!J35</f>
        <v/>
      </c>
      <c r="U83" s="20" t="str">
        <f t="shared" ref="U83:V83" si="30">#REF!</f>
        <v>#REF!</v>
      </c>
      <c r="V83" s="20" t="str">
        <f t="shared" si="30"/>
        <v>#REF!</v>
      </c>
    </row>
    <row r="84">
      <c r="A84" s="20" t="str">
        <f>'System Parameters'!A36</f>
        <v/>
      </c>
      <c r="B84" s="20" t="str">
        <f>'System Parameters'!B36</f>
        <v/>
      </c>
      <c r="C84" s="20" t="str">
        <f>'System Parameters'!C36</f>
        <v/>
      </c>
      <c r="D84" s="20" t="str">
        <f>'System Parameters'!D36</f>
        <v/>
      </c>
      <c r="O84" s="20" t="str">
        <f>'System Parameters'!E36</f>
        <v/>
      </c>
      <c r="P84" s="20" t="str">
        <f>'System Parameters'!F36</f>
        <v/>
      </c>
      <c r="Q84" s="20" t="str">
        <f>'System Parameters'!G36</f>
        <v/>
      </c>
      <c r="R84" s="20" t="str">
        <f>'System Parameters'!H36</f>
        <v/>
      </c>
      <c r="S84" s="20" t="str">
        <f>'System Parameters'!I36</f>
        <v/>
      </c>
      <c r="T84" s="20" t="str">
        <f>'System Parameters'!J36</f>
        <v/>
      </c>
      <c r="U84" s="20" t="str">
        <f t="shared" ref="U84:V84" si="31">#REF!</f>
        <v>#REF!</v>
      </c>
      <c r="V84" s="20" t="str">
        <f t="shared" si="31"/>
        <v>#REF!</v>
      </c>
    </row>
    <row r="85">
      <c r="A85" s="20" t="str">
        <f>'System Parameters'!A37</f>
        <v/>
      </c>
      <c r="B85" s="20" t="str">
        <f>'System Parameters'!K24</f>
        <v/>
      </c>
      <c r="C85" s="20" t="str">
        <f>'System Parameters'!L24</f>
        <v/>
      </c>
      <c r="D85" s="20" t="str">
        <f>'System Parameters'!M24</f>
        <v/>
      </c>
      <c r="O85" s="20" t="str">
        <f>'System Parameters'!N24</f>
        <v/>
      </c>
      <c r="P85" s="20" t="str">
        <f>'System Parameters'!O24</f>
        <v/>
      </c>
      <c r="Q85" s="20" t="str">
        <f>'System Parameters'!P24</f>
        <v/>
      </c>
      <c r="R85" s="20" t="str">
        <f>'System Parameters'!Q24</f>
        <v/>
      </c>
      <c r="S85" s="20" t="str">
        <f>'System Parameters'!I37</f>
        <v/>
      </c>
      <c r="T85" s="20" t="str">
        <f>'System Parameters'!J37</f>
        <v/>
      </c>
      <c r="U85" s="20" t="str">
        <f t="shared" ref="U85:V85" si="32">#REF!</f>
        <v>#REF!</v>
      </c>
      <c r="V85" s="20" t="str">
        <f t="shared" si="32"/>
        <v>#REF!</v>
      </c>
    </row>
    <row r="86">
      <c r="A86" s="20" t="str">
        <f>'System Parameters'!A38</f>
        <v>REFLECTIONS : WHAT DID YOU LEARN FROM ANALYZING YOUR POWER.  TALK ABOUT SOME POTENTIAL TRADEOFFS. </v>
      </c>
      <c r="B86" s="20" t="str">
        <f>'System Parameters'!K25</f>
        <v/>
      </c>
      <c r="C86" s="20" t="str">
        <f t="shared" ref="C86:D86" si="33">#REF!</f>
        <v>#REF!</v>
      </c>
      <c r="D86" s="20" t="str">
        <f t="shared" si="33"/>
        <v>#REF!</v>
      </c>
      <c r="O86" s="20" t="str">
        <f t="shared" ref="O86:Q86" si="34">#REF!</f>
        <v>#REF!</v>
      </c>
      <c r="P86" s="20" t="str">
        <f t="shared" si="34"/>
        <v>#REF!</v>
      </c>
      <c r="Q86" s="20" t="str">
        <f t="shared" si="34"/>
        <v>#REF!</v>
      </c>
      <c r="R86" s="20" t="str">
        <f>'System Parameters'!Q25</f>
        <v/>
      </c>
      <c r="S86" s="20" t="str">
        <f>'System Parameters'!I38</f>
        <v/>
      </c>
      <c r="T86" s="20" t="str">
        <f>'System Parameters'!J38</f>
        <v/>
      </c>
      <c r="U86" s="20" t="str">
        <f t="shared" ref="U86:V86" si="35">#REF!</f>
        <v>#REF!</v>
      </c>
      <c r="V86" s="20" t="str">
        <f t="shared" si="35"/>
        <v>#REF!</v>
      </c>
    </row>
    <row r="87">
      <c r="A87" s="20" t="str">
        <f>'System Parameters'!L25</f>
        <v>Total power in profile (mw)</v>
      </c>
      <c r="B87" s="20" t="str">
        <f>'System Parameters'!M25</f>
        <v/>
      </c>
      <c r="C87" s="20" t="str">
        <f>'System Parameters'!N25</f>
        <v/>
      </c>
      <c r="R87" s="20" t="str">
        <f>'System Parameters'!Q26</f>
        <v/>
      </c>
      <c r="S87" s="20" t="str">
        <f>'System Parameters'!I39</f>
        <v/>
      </c>
      <c r="T87" s="20" t="str">
        <f>'System Parameters'!J39</f>
        <v/>
      </c>
      <c r="U87" s="20" t="str">
        <f>'System Parameters'!K39</f>
        <v/>
      </c>
      <c r="V87" s="20" t="str">
        <f>'System Parameters'!L39</f>
        <v/>
      </c>
    </row>
    <row r="88">
      <c r="A88" s="20" t="str">
        <f>'System Parameters'!L26</f>
        <v>"off"</v>
      </c>
      <c r="B88" s="20">
        <f>sumproduct(B56:B76, $T56:$T76)</f>
        <v>51.4074</v>
      </c>
      <c r="C88" s="20" t="str">
        <f>'System Parameters'!N26</f>
        <v>mW</v>
      </c>
      <c r="D88" s="20">
        <f t="shared" ref="D88:O88" si="36">sumproduct(D56:D76, $T56:$T76)</f>
        <v>51.4074</v>
      </c>
      <c r="E88" s="20">
        <f t="shared" si="36"/>
        <v>51.37308</v>
      </c>
      <c r="F88" s="20">
        <f t="shared" si="36"/>
        <v>51.40575</v>
      </c>
      <c r="G88" s="20">
        <f t="shared" si="36"/>
        <v>51.4074</v>
      </c>
      <c r="H88" s="20">
        <f t="shared" si="36"/>
        <v>51.4074</v>
      </c>
      <c r="I88" s="20">
        <f t="shared" si="36"/>
        <v>51.4074</v>
      </c>
      <c r="J88" s="20">
        <f t="shared" si="36"/>
        <v>51.40509</v>
      </c>
      <c r="K88" s="20">
        <f t="shared" si="36"/>
        <v>51.4074</v>
      </c>
      <c r="L88" s="20">
        <f t="shared" si="36"/>
        <v>46.30494</v>
      </c>
      <c r="M88" s="20">
        <f t="shared" si="36"/>
        <v>51.4074</v>
      </c>
      <c r="N88" s="20">
        <f t="shared" si="36"/>
        <v>51.4074</v>
      </c>
      <c r="O88" s="20">
        <f t="shared" si="36"/>
        <v>51.4074</v>
      </c>
      <c r="R88" s="20" t="str">
        <f>'System Parameters'!Q27</f>
        <v/>
      </c>
      <c r="S88" s="20" t="str">
        <f>'System Parameters'!I40</f>
        <v/>
      </c>
      <c r="T88" s="20" t="str">
        <f>'System Parameters'!J40</f>
        <v/>
      </c>
      <c r="U88" s="20" t="str">
        <f>'System Parameters'!K40</f>
        <v/>
      </c>
      <c r="V88" s="20" t="str">
        <f>'System Parameters'!L40</f>
        <v/>
      </c>
    </row>
    <row r="89">
      <c r="A89" s="20" t="str">
        <f>'System Parameters'!L27</f>
        <v>"sensing"</v>
      </c>
      <c r="B89" s="20">
        <f>sumproduct(B56:B76,$U56:$U76)</f>
        <v>1499.55597</v>
      </c>
      <c r="C89" s="20" t="str">
        <f>'System Parameters'!N27</f>
        <v>mW</v>
      </c>
      <c r="D89" s="20">
        <f t="shared" ref="D89:O89" si="37">sumproduct(D56:D76,$U56:$U76)</f>
        <v>1492.29597</v>
      </c>
      <c r="E89" s="20">
        <f t="shared" si="37"/>
        <v>1499.54739</v>
      </c>
      <c r="F89" s="20">
        <f t="shared" si="37"/>
        <v>1499.55597</v>
      </c>
      <c r="G89" s="20">
        <f t="shared" si="37"/>
        <v>1479.75597</v>
      </c>
      <c r="H89" s="20">
        <f t="shared" si="37"/>
        <v>1492.62597</v>
      </c>
      <c r="I89" s="20">
        <f t="shared" si="37"/>
        <v>1499.555673</v>
      </c>
      <c r="J89" s="20">
        <f t="shared" si="37"/>
        <v>1499.55597</v>
      </c>
      <c r="K89" s="20">
        <f t="shared" si="37"/>
        <v>1494.43272</v>
      </c>
      <c r="L89" s="20">
        <f t="shared" si="37"/>
        <v>1499.2725</v>
      </c>
      <c r="M89" s="20">
        <f t="shared" si="37"/>
        <v>1499.55597</v>
      </c>
      <c r="N89" s="20">
        <f t="shared" si="37"/>
        <v>1389.00597</v>
      </c>
      <c r="O89" s="20">
        <f t="shared" si="37"/>
        <v>1499.55597</v>
      </c>
      <c r="R89" s="20" t="str">
        <f>'System Parameters'!Q28</f>
        <v/>
      </c>
      <c r="S89" s="20" t="str">
        <f>'System Parameters'!I41</f>
        <v/>
      </c>
      <c r="T89" s="20" t="str">
        <f>'System Parameters'!J41</f>
        <v/>
      </c>
      <c r="U89" s="20" t="str">
        <f>'System Parameters'!K41</f>
        <v/>
      </c>
      <c r="V89" s="20" t="str">
        <f>'System Parameters'!L41</f>
        <v/>
      </c>
    </row>
    <row r="90">
      <c r="A90" s="20" t="str">
        <f>'System Parameters'!L28</f>
        <v>"interactive"</v>
      </c>
      <c r="B90" s="20">
        <f>sumproduct(B56:B76, $V56:$V76)</f>
        <v>348.45393</v>
      </c>
      <c r="C90" s="20" t="str">
        <f>'System Parameters'!N28</f>
        <v>mW</v>
      </c>
      <c r="D90" s="20">
        <f t="shared" ref="D90:O90" si="38">sumproduct(D56:D76, $V56:$V76)</f>
        <v>347.72793</v>
      </c>
      <c r="E90" s="20">
        <f t="shared" si="38"/>
        <v>348.45393</v>
      </c>
      <c r="F90" s="20">
        <f t="shared" si="38"/>
        <v>348.45393</v>
      </c>
      <c r="G90" s="20">
        <f t="shared" si="38"/>
        <v>348.45393</v>
      </c>
      <c r="H90" s="20">
        <f t="shared" si="38"/>
        <v>348.45393</v>
      </c>
      <c r="I90" s="20">
        <f t="shared" si="38"/>
        <v>348.451257</v>
      </c>
      <c r="J90" s="20">
        <f t="shared" si="38"/>
        <v>348.45393</v>
      </c>
      <c r="K90" s="20">
        <f t="shared" si="38"/>
        <v>343.33068</v>
      </c>
      <c r="L90" s="20">
        <f t="shared" si="38"/>
        <v>348.17046</v>
      </c>
      <c r="M90" s="20">
        <f t="shared" si="38"/>
        <v>348.45393</v>
      </c>
      <c r="N90" s="20">
        <f t="shared" si="38"/>
        <v>348.45393</v>
      </c>
      <c r="O90" s="20">
        <f t="shared" si="38"/>
        <v>319.74393</v>
      </c>
      <c r="R90" s="20" t="str">
        <f>'System Parameters'!Q29</f>
        <v/>
      </c>
      <c r="S90" s="20" t="str">
        <f>'System Parameters'!I42</f>
        <v/>
      </c>
      <c r="T90" s="20" t="str">
        <f>'System Parameters'!J42</f>
        <v/>
      </c>
      <c r="U90" s="20" t="str">
        <f>'System Parameters'!K42</f>
        <v/>
      </c>
      <c r="V90" s="20" t="str">
        <f>'System Parameters'!L42</f>
        <v/>
      </c>
    </row>
    <row r="91">
      <c r="A91" s="20" t="str">
        <f>'System Parameters'!L29</f>
        <v/>
      </c>
      <c r="B91" s="20" t="str">
        <f>'System Parameters'!M29</f>
        <v/>
      </c>
      <c r="C91" s="20" t="str">
        <f>'System Parameters'!N29</f>
        <v/>
      </c>
      <c r="D91" s="20" t="str">
        <f>'System Parameters'!O29</f>
        <v/>
      </c>
      <c r="E91" s="20" t="str">
        <f>'System Parameters'!P29</f>
        <v/>
      </c>
      <c r="F91" s="20" t="str">
        <f>'System Parameters'!Q30</f>
        <v/>
      </c>
      <c r="G91" s="20" t="str">
        <f>'System Parameters'!I43</f>
        <v/>
      </c>
      <c r="H91" s="20" t="str">
        <f>'System Parameters'!J43</f>
        <v/>
      </c>
      <c r="I91" s="20" t="str">
        <f>'System Parameters'!K43</f>
        <v/>
      </c>
      <c r="J91" s="20" t="str">
        <f>'System Parameters'!L43</f>
        <v/>
      </c>
      <c r="K91" s="20" t="str">
        <f>'System Parameters'!M43</f>
        <v/>
      </c>
      <c r="L91" s="20" t="str">
        <f>'System Parameters'!N43</f>
        <v/>
      </c>
      <c r="M91" s="20" t="str">
        <f>'System Parameters'!O43</f>
        <v/>
      </c>
      <c r="N91" s="20" t="str">
        <f>'System Parameters'!P43</f>
        <v/>
      </c>
      <c r="O91" s="20" t="str">
        <f>'System Parameters'!Q43</f>
        <v/>
      </c>
      <c r="R91" s="20" t="str">
        <f>'System Parameters'!Q30</f>
        <v/>
      </c>
      <c r="S91" s="20" t="str">
        <f>'System Parameters'!I43</f>
        <v/>
      </c>
      <c r="T91" s="20" t="str">
        <f>'System Parameters'!J43</f>
        <v/>
      </c>
      <c r="U91" s="20" t="str">
        <f>'System Parameters'!K43</f>
        <v/>
      </c>
      <c r="V91" s="20" t="str">
        <f>'System Parameters'!L43</f>
        <v/>
      </c>
    </row>
    <row r="92">
      <c r="A92" s="20" t="str">
        <f>'System Parameters'!L30</f>
        <v>Effective Battery Capacity</v>
      </c>
      <c r="B92" s="20" t="str">
        <f>'System Parameters'!M30</f>
        <v/>
      </c>
      <c r="C92" s="20" t="str">
        <f>'System Parameters'!N30</f>
        <v/>
      </c>
      <c r="D92" s="20" t="str">
        <f>'System Parameters'!O30</f>
        <v/>
      </c>
      <c r="E92" s="20" t="str">
        <f>'System Parameters'!P30</f>
        <v/>
      </c>
      <c r="F92" s="20" t="str">
        <f>'System Parameters'!Q31</f>
        <v/>
      </c>
      <c r="G92" s="20" t="str">
        <f>'System Parameters'!I44</f>
        <v/>
      </c>
      <c r="H92" s="20" t="str">
        <f>'System Parameters'!J44</f>
        <v/>
      </c>
      <c r="I92" s="20" t="str">
        <f>'System Parameters'!K44</f>
        <v/>
      </c>
      <c r="J92" s="20" t="str">
        <f>'System Parameters'!L44</f>
        <v/>
      </c>
      <c r="K92" s="20" t="str">
        <f>'System Parameters'!M44</f>
        <v/>
      </c>
      <c r="L92" s="20" t="str">
        <f>'System Parameters'!N44</f>
        <v/>
      </c>
      <c r="M92" s="20" t="str">
        <f>'System Parameters'!O44</f>
        <v/>
      </c>
      <c r="N92" s="20" t="str">
        <f>'System Parameters'!P44</f>
        <v/>
      </c>
      <c r="O92" s="20" t="str">
        <f>'System Parameters'!Q44</f>
        <v/>
      </c>
      <c r="P92" s="20" t="str">
        <f>'System Parameters'!O30</f>
        <v/>
      </c>
      <c r="Q92" s="20" t="str">
        <f>'System Parameters'!P30</f>
        <v/>
      </c>
      <c r="R92" s="20" t="str">
        <f>'System Parameters'!Q31</f>
        <v/>
      </c>
      <c r="S92" s="20" t="str">
        <f>'System Parameters'!I44</f>
        <v/>
      </c>
      <c r="T92" s="20" t="str">
        <f>'System Parameters'!J44</f>
        <v/>
      </c>
      <c r="U92" s="20" t="str">
        <f>'System Parameters'!K44</f>
        <v/>
      </c>
      <c r="V92" s="20" t="str">
        <f>'System Parameters'!L44</f>
        <v/>
      </c>
    </row>
    <row r="93">
      <c r="A93" s="20" t="str">
        <f>'System Parameters'!L31</f>
        <v/>
      </c>
      <c r="B93" s="20">
        <f>B80*B81*B82</f>
        <v>10461.32431</v>
      </c>
      <c r="C93" s="20" t="str">
        <f>'System Parameters'!N31</f>
        <v>mW*h</v>
      </c>
      <c r="D93" s="20">
        <f t="shared" ref="D93:O93" si="39">$B93</f>
        <v>10461.32431</v>
      </c>
      <c r="E93" s="20">
        <f t="shared" si="39"/>
        <v>10461.32431</v>
      </c>
      <c r="F93" s="20">
        <f t="shared" si="39"/>
        <v>10461.32431</v>
      </c>
      <c r="G93" s="20">
        <f t="shared" si="39"/>
        <v>10461.32431</v>
      </c>
      <c r="H93" s="20">
        <f t="shared" si="39"/>
        <v>10461.32431</v>
      </c>
      <c r="I93" s="20">
        <f t="shared" si="39"/>
        <v>10461.32431</v>
      </c>
      <c r="J93" s="20">
        <f t="shared" si="39"/>
        <v>10461.32431</v>
      </c>
      <c r="K93" s="20">
        <f t="shared" si="39"/>
        <v>10461.32431</v>
      </c>
      <c r="L93" s="20">
        <f t="shared" si="39"/>
        <v>10461.32431</v>
      </c>
      <c r="M93" s="20">
        <f t="shared" si="39"/>
        <v>10461.32431</v>
      </c>
      <c r="N93" s="20">
        <f t="shared" si="39"/>
        <v>10461.32431</v>
      </c>
      <c r="O93" s="20">
        <f t="shared" si="39"/>
        <v>10461.32431</v>
      </c>
      <c r="P93" s="20" t="str">
        <f>'System Parameters'!O31</f>
        <v/>
      </c>
      <c r="Q93" s="20" t="str">
        <f>'System Parameters'!P31</f>
        <v/>
      </c>
      <c r="R93" s="20" t="str">
        <f>'System Parameters'!Q32</f>
        <v/>
      </c>
      <c r="S93" s="20" t="str">
        <f>'System Parameters'!I45</f>
        <v/>
      </c>
      <c r="T93" s="20" t="str">
        <f>'System Parameters'!J45</f>
        <v/>
      </c>
      <c r="U93" s="20" t="str">
        <f>'System Parameters'!K45</f>
        <v/>
      </c>
      <c r="V93" s="20" t="str">
        <f>'System Parameters'!L45</f>
        <v/>
      </c>
    </row>
    <row r="94">
      <c r="A94" s="20" t="str">
        <f>'System Parameters'!L32</f>
        <v/>
      </c>
      <c r="B94" s="20" t="str">
        <f>'System Parameters'!M32</f>
        <v/>
      </c>
      <c r="C94" s="20" t="str">
        <f>'System Parameters'!N32</f>
        <v/>
      </c>
      <c r="D94" s="20" t="str">
        <f>'System Parameters'!O32</f>
        <v/>
      </c>
      <c r="E94" s="20" t="str">
        <f>'System Parameters'!P32</f>
        <v/>
      </c>
      <c r="F94" s="20" t="str">
        <f>'System Parameters'!Q33</f>
        <v/>
      </c>
      <c r="G94" s="20" t="str">
        <f>'System Parameters'!I46</f>
        <v/>
      </c>
      <c r="H94" s="20" t="str">
        <f>'System Parameters'!J46</f>
        <v/>
      </c>
      <c r="I94" s="20" t="str">
        <f>'System Parameters'!K46</f>
        <v/>
      </c>
      <c r="J94" s="20" t="str">
        <f>'System Parameters'!L46</f>
        <v/>
      </c>
      <c r="K94" s="20" t="str">
        <f>'System Parameters'!M46</f>
        <v/>
      </c>
      <c r="L94" s="20" t="str">
        <f>'System Parameters'!N46</f>
        <v/>
      </c>
      <c r="M94" s="20" t="str">
        <f>'System Parameters'!O46</f>
        <v/>
      </c>
      <c r="N94" s="20" t="str">
        <f>'System Parameters'!P46</f>
        <v/>
      </c>
      <c r="O94" s="20" t="str">
        <f>'System Parameters'!Q46</f>
        <v/>
      </c>
      <c r="P94" s="20" t="str">
        <f>'System Parameters'!O32</f>
        <v/>
      </c>
      <c r="Q94" s="20" t="str">
        <f>'System Parameters'!P32</f>
        <v/>
      </c>
      <c r="R94" s="20" t="str">
        <f>'System Parameters'!Q33</f>
        <v/>
      </c>
      <c r="S94" s="20" t="str">
        <f>'System Parameters'!I46</f>
        <v/>
      </c>
      <c r="T94" s="20" t="str">
        <f>'System Parameters'!J46</f>
        <v/>
      </c>
      <c r="U94" s="20" t="str">
        <f>'System Parameters'!K46</f>
        <v/>
      </c>
      <c r="V94" s="20" t="str">
        <f>'System Parameters'!L46</f>
        <v/>
      </c>
    </row>
    <row r="95">
      <c r="A95" s="20" t="str">
        <f>'System Parameters'!L33</f>
        <v>Days of Use</v>
      </c>
      <c r="B95" s="20">
        <f>B93/($T78*B88+$U78*B89+$V78*B90)</f>
        <v>2.214426912</v>
      </c>
      <c r="C95" s="20" t="str">
        <f>'System Parameters'!N33</f>
        <v>days</v>
      </c>
      <c r="D95" s="20">
        <f t="shared" ref="D95:O95" si="40">D93/($T78*D88+$U78*D89+$V78*D90)</f>
        <v>2.221939094</v>
      </c>
      <c r="E95" s="20">
        <f t="shared" si="40"/>
        <v>2.21475675</v>
      </c>
      <c r="F95" s="20">
        <f t="shared" si="40"/>
        <v>2.21444238</v>
      </c>
      <c r="G95" s="20">
        <f t="shared" si="40"/>
        <v>2.2331461</v>
      </c>
      <c r="H95" s="20">
        <f t="shared" si="40"/>
        <v>2.220942825</v>
      </c>
      <c r="I95" s="20">
        <f t="shared" si="40"/>
        <v>2.214429696</v>
      </c>
      <c r="J95" s="20">
        <f t="shared" si="40"/>
        <v>2.214448568</v>
      </c>
      <c r="K95" s="20">
        <f t="shared" si="40"/>
        <v>2.224074741</v>
      </c>
      <c r="L95" s="20">
        <f t="shared" si="40"/>
        <v>2.263873383</v>
      </c>
      <c r="M95" s="20">
        <f t="shared" si="40"/>
        <v>2.214426912</v>
      </c>
      <c r="N95" s="20">
        <f t="shared" si="40"/>
        <v>2.323154964</v>
      </c>
      <c r="O95" s="20">
        <f t="shared" si="40"/>
        <v>2.241673379</v>
      </c>
      <c r="P95" s="20" t="str">
        <f>'System Parameters'!O33</f>
        <v/>
      </c>
      <c r="Q95" s="20" t="str">
        <f>'System Parameters'!P33</f>
        <v/>
      </c>
      <c r="R95" s="20" t="str">
        <f>'System Parameters'!Q34</f>
        <v/>
      </c>
      <c r="S95" s="20" t="str">
        <f>'System Parameters'!I47</f>
        <v/>
      </c>
      <c r="T95" s="20" t="str">
        <f>'System Parameters'!J47</f>
        <v/>
      </c>
      <c r="U95" s="20" t="str">
        <f>'System Parameters'!K47</f>
        <v/>
      </c>
      <c r="V95" s="20" t="str">
        <f>'System Parameters'!L47</f>
        <v/>
      </c>
    </row>
    <row r="96">
      <c r="A96" s="20" t="str">
        <f>'System Parameters'!L34</f>
        <v>Hours of Use</v>
      </c>
      <c r="B96" s="20">
        <f>B95*24</f>
        <v>53.14624588</v>
      </c>
      <c r="C96" s="20" t="str">
        <f>'System Parameters'!N34</f>
        <v>hours</v>
      </c>
      <c r="D96" s="20">
        <f t="shared" ref="D96:O96" si="41">D95*24</f>
        <v>53.32653826</v>
      </c>
      <c r="E96" s="20">
        <f t="shared" si="41"/>
        <v>53.15416201</v>
      </c>
      <c r="F96" s="20">
        <f t="shared" si="41"/>
        <v>53.14661713</v>
      </c>
      <c r="G96" s="20">
        <f t="shared" si="41"/>
        <v>53.59550639</v>
      </c>
      <c r="H96" s="20">
        <f t="shared" si="41"/>
        <v>53.3026278</v>
      </c>
      <c r="I96" s="20">
        <f t="shared" si="41"/>
        <v>53.1463127</v>
      </c>
      <c r="J96" s="20">
        <f t="shared" si="41"/>
        <v>53.14676563</v>
      </c>
      <c r="K96" s="20">
        <f t="shared" si="41"/>
        <v>53.37779378</v>
      </c>
      <c r="L96" s="20">
        <f t="shared" si="41"/>
        <v>54.33296119</v>
      </c>
      <c r="M96" s="20">
        <f t="shared" si="41"/>
        <v>53.14624588</v>
      </c>
      <c r="N96" s="20">
        <f t="shared" si="41"/>
        <v>55.75571913</v>
      </c>
      <c r="O96" s="20">
        <f t="shared" si="41"/>
        <v>53.8001611</v>
      </c>
      <c r="P96" s="20" t="str">
        <f>'System Parameters'!O34</f>
        <v/>
      </c>
      <c r="Q96" s="20" t="str">
        <f>'System Parameters'!P34</f>
        <v/>
      </c>
      <c r="R96" s="20" t="str">
        <f>'System Parameters'!Q35</f>
        <v/>
      </c>
      <c r="S96" s="20" t="str">
        <f>'System Parameters'!I48</f>
        <v/>
      </c>
      <c r="T96" s="20" t="str">
        <f>'System Parameters'!J48</f>
        <v/>
      </c>
      <c r="U96" s="20" t="str">
        <f>'System Parameters'!K48</f>
        <v/>
      </c>
      <c r="V96" s="20" t="str">
        <f>'System Parameters'!L48</f>
        <v/>
      </c>
    </row>
    <row r="97">
      <c r="A97" s="20" t="str">
        <f>'System Parameters'!A49</f>
        <v/>
      </c>
      <c r="B97" s="20" t="str">
        <f>'System Parameters'!K36</f>
        <v/>
      </c>
      <c r="C97" s="20" t="str">
        <f>'System Parameters'!L36</f>
        <v/>
      </c>
      <c r="D97" s="20" t="str">
        <f>'System Parameters'!M36</f>
        <v/>
      </c>
      <c r="O97" s="20" t="str">
        <f>'System Parameters'!N36</f>
        <v/>
      </c>
      <c r="P97" s="20" t="str">
        <f>'System Parameters'!O36</f>
        <v/>
      </c>
      <c r="Q97" s="20" t="str">
        <f>'System Parameters'!P36</f>
        <v/>
      </c>
      <c r="R97" s="20" t="str">
        <f>'System Parameters'!Q36</f>
        <v/>
      </c>
      <c r="S97" s="20" t="str">
        <f>'System Parameters'!I49</f>
        <v/>
      </c>
      <c r="T97" s="20" t="str">
        <f>'System Parameters'!J49</f>
        <v/>
      </c>
      <c r="U97" s="20" t="str">
        <f>'System Parameters'!K49</f>
        <v/>
      </c>
      <c r="V97" s="20" t="str">
        <f>'System Parameters'!L49</f>
        <v/>
      </c>
    </row>
    <row r="98">
      <c r="A98" s="9" t="s">
        <v>45</v>
      </c>
      <c r="B98" s="20" t="str">
        <f>'System Parameters'!K37</f>
        <v/>
      </c>
      <c r="C98" s="20" t="str">
        <f>'System Parameters'!L37</f>
        <v/>
      </c>
      <c r="D98" s="27">
        <f t="shared" ref="D98:O98" si="42">D96/$B96-1</f>
        <v>0.003392382279</v>
      </c>
      <c r="E98" s="27">
        <f t="shared" si="42"/>
        <v>0.0001489500003</v>
      </c>
      <c r="F98" s="27">
        <f t="shared" si="42"/>
        <v>0.00000698540609</v>
      </c>
      <c r="G98" s="27">
        <f t="shared" si="42"/>
        <v>0.008453287836</v>
      </c>
      <c r="H98" s="27">
        <f t="shared" si="42"/>
        <v>0.002942482867</v>
      </c>
      <c r="I98" s="27">
        <f t="shared" si="42"/>
        <v>0.000001257365894</v>
      </c>
      <c r="J98" s="27">
        <f t="shared" si="42"/>
        <v>0.000009779595852</v>
      </c>
      <c r="K98" s="27">
        <f t="shared" si="42"/>
        <v>0.0043568063</v>
      </c>
      <c r="L98" s="27">
        <f t="shared" si="42"/>
        <v>0.02232924068</v>
      </c>
      <c r="M98" s="27">
        <f t="shared" si="42"/>
        <v>0</v>
      </c>
      <c r="N98" s="27">
        <f t="shared" si="42"/>
        <v>0.04909986032</v>
      </c>
      <c r="O98" s="27">
        <f t="shared" si="42"/>
        <v>0.0123040718</v>
      </c>
      <c r="P98" s="20" t="str">
        <f>'System Parameters'!O37</f>
        <v/>
      </c>
      <c r="Q98" s="20" t="str">
        <f>'System Parameters'!P37</f>
        <v/>
      </c>
      <c r="R98" s="20" t="str">
        <f>'System Parameters'!Q37</f>
        <v/>
      </c>
      <c r="S98" s="20" t="str">
        <f>'System Parameters'!I50</f>
        <v/>
      </c>
      <c r="T98" s="20" t="str">
        <f>'System Parameters'!J50</f>
        <v/>
      </c>
      <c r="U98" s="20" t="str">
        <f>'System Parameters'!K50</f>
        <v/>
      </c>
      <c r="V98" s="20" t="str">
        <f>'System Parameters'!L50</f>
        <v/>
      </c>
    </row>
    <row r="99">
      <c r="A99" s="9" t="s">
        <v>46</v>
      </c>
      <c r="B99" s="20" t="str">
        <f>'System Parameters'!K38</f>
        <v/>
      </c>
      <c r="C99" s="20" t="str">
        <f>'System Parameters'!L38</f>
        <v/>
      </c>
      <c r="D99" s="9" t="s">
        <v>47</v>
      </c>
      <c r="E99" s="9" t="s">
        <v>48</v>
      </c>
      <c r="F99" s="9" t="s">
        <v>49</v>
      </c>
      <c r="G99" s="9" t="s">
        <v>50</v>
      </c>
      <c r="H99" s="9" t="s">
        <v>51</v>
      </c>
      <c r="I99" s="9" t="s">
        <v>52</v>
      </c>
      <c r="J99" s="9" t="s">
        <v>53</v>
      </c>
      <c r="K99" s="9" t="s">
        <v>54</v>
      </c>
      <c r="L99" s="9" t="s">
        <v>55</v>
      </c>
      <c r="M99" s="9" t="s">
        <v>56</v>
      </c>
      <c r="N99" s="9" t="s">
        <v>57</v>
      </c>
      <c r="O99" s="9" t="s">
        <v>58</v>
      </c>
      <c r="P99" s="20" t="str">
        <f>'System Parameters'!O38</f>
        <v/>
      </c>
      <c r="Q99" s="20" t="str">
        <f>'System Parameters'!P38</f>
        <v/>
      </c>
      <c r="R99" s="20" t="str">
        <f>'System Parameters'!Q38</f>
        <v/>
      </c>
      <c r="S99" s="20" t="str">
        <f>'System Parameters'!I51</f>
        <v/>
      </c>
      <c r="T99" s="20" t="str">
        <f>'System Parameters'!J51</f>
        <v/>
      </c>
      <c r="U99" s="20" t="str">
        <f>'System Parameters'!K51</f>
        <v/>
      </c>
      <c r="V99" s="20" t="str">
        <f>'System Parameters'!L51</f>
        <v/>
      </c>
    </row>
    <row r="100">
      <c r="A100" s="20" t="str">
        <f>'System Parameters'!A52</f>
        <v/>
      </c>
      <c r="B100" s="20" t="str">
        <f>'System Parameters'!B52</f>
        <v/>
      </c>
      <c r="C100" s="20" t="str">
        <f>'System Parameters'!C52</f>
        <v/>
      </c>
      <c r="D100" s="20" t="str">
        <f>'System Parameters'!D52</f>
        <v/>
      </c>
      <c r="O100" s="20" t="str">
        <f>'System Parameters'!E52</f>
        <v/>
      </c>
      <c r="P100" s="20" t="str">
        <f>'System Parameters'!F52</f>
        <v/>
      </c>
      <c r="Q100" s="20" t="str">
        <f>'System Parameters'!G52</f>
        <v/>
      </c>
      <c r="R100" s="20" t="str">
        <f>'System Parameters'!H52</f>
        <v/>
      </c>
      <c r="S100" s="20" t="str">
        <f>'System Parameters'!I52</f>
        <v/>
      </c>
      <c r="T100" s="20" t="str">
        <f>'System Parameters'!J52</f>
        <v/>
      </c>
      <c r="U100" s="20" t="str">
        <f>'System Parameters'!K52</f>
        <v/>
      </c>
      <c r="V100" s="20" t="str">
        <f>'System Parameters'!L52</f>
        <v/>
      </c>
    </row>
    <row r="101">
      <c r="A101" s="20" t="str">
        <f>'System Parameters'!A53</f>
        <v/>
      </c>
      <c r="B101" s="20" t="str">
        <f>'System Parameters'!B53</f>
        <v/>
      </c>
      <c r="C101" s="20" t="str">
        <f>'System Parameters'!C53</f>
        <v/>
      </c>
      <c r="D101" s="20" t="str">
        <f>'System Parameters'!D53</f>
        <v/>
      </c>
      <c r="O101" s="20" t="str">
        <f>'System Parameters'!E53</f>
        <v/>
      </c>
      <c r="P101" s="20" t="str">
        <f>'System Parameters'!F53</f>
        <v/>
      </c>
      <c r="Q101" s="20" t="str">
        <f>'System Parameters'!G53</f>
        <v/>
      </c>
      <c r="R101" s="20" t="str">
        <f>'System Parameters'!H53</f>
        <v/>
      </c>
      <c r="S101" s="20" t="str">
        <f>'System Parameters'!I53</f>
        <v/>
      </c>
      <c r="T101" s="20" t="str">
        <f>'System Parameters'!J53</f>
        <v/>
      </c>
      <c r="U101" s="20" t="str">
        <f>'System Parameters'!K53</f>
        <v/>
      </c>
      <c r="V101" s="20" t="str">
        <f>'System Parameters'!L53</f>
        <v/>
      </c>
    </row>
    <row r="102">
      <c r="A102" s="20" t="str">
        <f>'System Parameters'!A54</f>
        <v/>
      </c>
      <c r="B102" s="20" t="str">
        <f>'System Parameters'!B54</f>
        <v/>
      </c>
      <c r="C102" s="20" t="str">
        <f>'System Parameters'!C54</f>
        <v/>
      </c>
      <c r="D102" s="20" t="str">
        <f>'System Parameters'!D54</f>
        <v/>
      </c>
      <c r="O102" s="20" t="str">
        <f>'System Parameters'!E54</f>
        <v/>
      </c>
      <c r="P102" s="20" t="str">
        <f>'System Parameters'!F54</f>
        <v/>
      </c>
      <c r="Q102" s="20" t="str">
        <f>'System Parameters'!G54</f>
        <v/>
      </c>
      <c r="R102" s="20" t="str">
        <f>'System Parameters'!H54</f>
        <v/>
      </c>
      <c r="S102" s="20" t="str">
        <f>'System Parameters'!I54</f>
        <v/>
      </c>
      <c r="T102" s="20" t="str">
        <f>'System Parameters'!J54</f>
        <v/>
      </c>
      <c r="U102" s="20" t="str">
        <f>'System Parameters'!K54</f>
        <v/>
      </c>
      <c r="V102" s="20" t="str">
        <f>'System Parameters'!L54</f>
        <v/>
      </c>
    </row>
    <row r="103">
      <c r="A103" s="20" t="str">
        <f>'System Parameters'!A55</f>
        <v/>
      </c>
      <c r="B103" s="20" t="str">
        <f>'System Parameters'!B55</f>
        <v/>
      </c>
      <c r="C103" s="20" t="str">
        <f>'System Parameters'!C55</f>
        <v/>
      </c>
      <c r="D103" s="20" t="str">
        <f>'System Parameters'!D55</f>
        <v/>
      </c>
      <c r="O103" s="20" t="str">
        <f>'System Parameters'!E55</f>
        <v/>
      </c>
      <c r="P103" s="20" t="str">
        <f>'System Parameters'!F55</f>
        <v/>
      </c>
      <c r="Q103" s="20" t="str">
        <f>'System Parameters'!G55</f>
        <v/>
      </c>
      <c r="R103" s="20" t="str">
        <f>'System Parameters'!H55</f>
        <v/>
      </c>
      <c r="S103" s="20" t="str">
        <f>'System Parameters'!I55</f>
        <v/>
      </c>
      <c r="T103" s="20" t="str">
        <f>'System Parameters'!J55</f>
        <v/>
      </c>
      <c r="U103" s="20" t="str">
        <f>'System Parameters'!K55</f>
        <v/>
      </c>
      <c r="V103" s="20" t="str">
        <f>'System Parameters'!L55</f>
        <v/>
      </c>
    </row>
    <row r="104">
      <c r="A104" s="20" t="str">
        <f>'System Parameters'!A56</f>
        <v/>
      </c>
      <c r="B104" s="20" t="str">
        <f>'System Parameters'!B56</f>
        <v/>
      </c>
      <c r="C104" s="20" t="str">
        <f>'System Parameters'!C56</f>
        <v/>
      </c>
      <c r="D104" s="20" t="str">
        <f>'System Parameters'!D56</f>
        <v/>
      </c>
      <c r="O104" s="20" t="str">
        <f>'System Parameters'!E56</f>
        <v/>
      </c>
      <c r="P104" s="20" t="str">
        <f>'System Parameters'!F56</f>
        <v/>
      </c>
      <c r="Q104" s="20" t="str">
        <f>'System Parameters'!G56</f>
        <v/>
      </c>
      <c r="R104" s="20" t="str">
        <f>'System Parameters'!H56</f>
        <v/>
      </c>
      <c r="S104" s="20" t="str">
        <f>'System Parameters'!I56</f>
        <v/>
      </c>
      <c r="T104" s="20" t="str">
        <f>'System Parameters'!J56</f>
        <v/>
      </c>
      <c r="U104" s="20" t="str">
        <f>'System Parameters'!K56</f>
        <v/>
      </c>
      <c r="V104" s="20" t="str">
        <f>'System Parameters'!L56</f>
        <v/>
      </c>
    </row>
    <row r="105">
      <c r="A105" s="20" t="str">
        <f>'System Parameters'!A57</f>
        <v/>
      </c>
      <c r="B105" s="20" t="str">
        <f>'System Parameters'!B57</f>
        <v/>
      </c>
      <c r="C105" s="20" t="str">
        <f>'System Parameters'!C57</f>
        <v/>
      </c>
      <c r="D105" s="20" t="str">
        <f>'System Parameters'!D57</f>
        <v/>
      </c>
      <c r="O105" s="20" t="str">
        <f>'System Parameters'!E57</f>
        <v/>
      </c>
      <c r="P105" s="20" t="str">
        <f>'System Parameters'!F57</f>
        <v/>
      </c>
      <c r="Q105" s="20" t="str">
        <f>'System Parameters'!G57</f>
        <v/>
      </c>
      <c r="R105" s="20" t="str">
        <f>'System Parameters'!H57</f>
        <v/>
      </c>
      <c r="S105" s="20" t="str">
        <f>'System Parameters'!I57</f>
        <v/>
      </c>
      <c r="T105" s="20" t="str">
        <f>'System Parameters'!J57</f>
        <v/>
      </c>
      <c r="U105" s="20" t="str">
        <f>'System Parameters'!K57</f>
        <v/>
      </c>
      <c r="V105" s="20" t="str">
        <f>'System Parameters'!L57</f>
        <v/>
      </c>
    </row>
    <row r="106">
      <c r="A106" s="20" t="str">
        <f>'System Parameters'!A58</f>
        <v/>
      </c>
      <c r="B106" s="20" t="str">
        <f>'System Parameters'!B58</f>
        <v/>
      </c>
      <c r="C106" s="20" t="str">
        <f>'System Parameters'!C58</f>
        <v/>
      </c>
      <c r="D106" s="20" t="str">
        <f>'System Parameters'!D58</f>
        <v/>
      </c>
      <c r="O106" s="20" t="str">
        <f>'System Parameters'!E58</f>
        <v/>
      </c>
      <c r="P106" s="20" t="str">
        <f>'System Parameters'!F58</f>
        <v/>
      </c>
      <c r="Q106" s="20" t="str">
        <f>'System Parameters'!G58</f>
        <v/>
      </c>
      <c r="R106" s="20" t="str">
        <f>'System Parameters'!H58</f>
        <v/>
      </c>
      <c r="S106" s="20" t="str">
        <f>'System Parameters'!I58</f>
        <v/>
      </c>
      <c r="T106" s="20" t="str">
        <f>'System Parameters'!J58</f>
        <v/>
      </c>
      <c r="U106" s="20" t="str">
        <f>'System Parameters'!K58</f>
        <v/>
      </c>
      <c r="V106" s="20" t="str">
        <f>'System Parameters'!L58</f>
        <v/>
      </c>
    </row>
    <row r="107">
      <c r="A107" s="20" t="str">
        <f>'System Parameters'!A59</f>
        <v/>
      </c>
      <c r="B107" s="20" t="str">
        <f>'System Parameters'!B59</f>
        <v/>
      </c>
      <c r="C107" s="20" t="str">
        <f>'System Parameters'!C59</f>
        <v/>
      </c>
      <c r="D107" s="20" t="str">
        <f>'System Parameters'!D59</f>
        <v/>
      </c>
      <c r="O107" s="20" t="str">
        <f>'System Parameters'!E59</f>
        <v/>
      </c>
      <c r="P107" s="20" t="str">
        <f>'System Parameters'!F59</f>
        <v/>
      </c>
      <c r="Q107" s="20" t="str">
        <f>'System Parameters'!G59</f>
        <v/>
      </c>
      <c r="R107" s="20" t="str">
        <f>'System Parameters'!H59</f>
        <v/>
      </c>
      <c r="S107" s="20" t="str">
        <f>'System Parameters'!I59</f>
        <v/>
      </c>
      <c r="T107" s="20" t="str">
        <f>'System Parameters'!J59</f>
        <v/>
      </c>
      <c r="U107" s="20" t="str">
        <f>'System Parameters'!K59</f>
        <v/>
      </c>
      <c r="V107" s="20" t="str">
        <f>'System Parameters'!L59</f>
        <v/>
      </c>
    </row>
    <row r="108">
      <c r="A108" s="20" t="str">
        <f>'System Parameters'!A60</f>
        <v/>
      </c>
      <c r="B108" s="20" t="str">
        <f>'System Parameters'!B60</f>
        <v/>
      </c>
      <c r="C108" s="20" t="str">
        <f>'System Parameters'!C60</f>
        <v/>
      </c>
      <c r="D108" s="20" t="str">
        <f>'System Parameters'!D60</f>
        <v/>
      </c>
      <c r="O108" s="20" t="str">
        <f>'System Parameters'!E60</f>
        <v/>
      </c>
      <c r="P108" s="20" t="str">
        <f>'System Parameters'!F60</f>
        <v/>
      </c>
      <c r="Q108" s="20" t="str">
        <f>'System Parameters'!G60</f>
        <v/>
      </c>
      <c r="R108" s="20" t="str">
        <f>'System Parameters'!H60</f>
        <v/>
      </c>
      <c r="S108" s="20" t="str">
        <f>'System Parameters'!I60</f>
        <v/>
      </c>
      <c r="T108" s="20" t="str">
        <f>'System Parameters'!J60</f>
        <v/>
      </c>
      <c r="U108" s="20" t="str">
        <f>'System Parameters'!K60</f>
        <v/>
      </c>
      <c r="V108" s="20" t="str">
        <f>'System Parameters'!L60</f>
        <v/>
      </c>
    </row>
    <row r="109">
      <c r="A109" s="20" t="str">
        <f>'System Parameters'!A61</f>
        <v/>
      </c>
      <c r="B109" s="20" t="str">
        <f>'System Parameters'!B61</f>
        <v/>
      </c>
      <c r="C109" s="20" t="str">
        <f>'System Parameters'!C61</f>
        <v/>
      </c>
      <c r="D109" s="20" t="str">
        <f>'System Parameters'!D61</f>
        <v/>
      </c>
      <c r="O109" s="20" t="str">
        <f>'System Parameters'!E61</f>
        <v/>
      </c>
      <c r="P109" s="20" t="str">
        <f>'System Parameters'!F61</f>
        <v/>
      </c>
      <c r="Q109" s="20" t="str">
        <f>'System Parameters'!G61</f>
        <v/>
      </c>
      <c r="R109" s="20" t="str">
        <f>'System Parameters'!H61</f>
        <v/>
      </c>
      <c r="S109" s="20" t="str">
        <f>'System Parameters'!I61</f>
        <v/>
      </c>
      <c r="T109" s="20" t="str">
        <f>'System Parameters'!J61</f>
        <v/>
      </c>
      <c r="U109" s="20" t="str">
        <f>'System Parameters'!K61</f>
        <v/>
      </c>
      <c r="V109" s="20" t="str">
        <f>'System Parameters'!L61</f>
        <v/>
      </c>
    </row>
    <row r="110">
      <c r="A110" s="20" t="str">
        <f>'System Parameters'!A62</f>
        <v/>
      </c>
      <c r="B110" s="20" t="str">
        <f>'System Parameters'!B62</f>
        <v/>
      </c>
      <c r="C110" s="20" t="str">
        <f>'System Parameters'!C62</f>
        <v/>
      </c>
      <c r="D110" s="20" t="str">
        <f>'System Parameters'!D62</f>
        <v/>
      </c>
      <c r="O110" s="20" t="str">
        <f>'System Parameters'!E62</f>
        <v/>
      </c>
      <c r="P110" s="20" t="str">
        <f>'System Parameters'!F62</f>
        <v/>
      </c>
      <c r="Q110" s="20" t="str">
        <f>'System Parameters'!G62</f>
        <v/>
      </c>
      <c r="R110" s="20" t="str">
        <f>'System Parameters'!H62</f>
        <v/>
      </c>
      <c r="S110" s="20" t="str">
        <f>'System Parameters'!I62</f>
        <v/>
      </c>
      <c r="T110" s="20" t="str">
        <f>'System Parameters'!J62</f>
        <v/>
      </c>
      <c r="U110" s="20" t="str">
        <f>'System Parameters'!K62</f>
        <v/>
      </c>
      <c r="V110" s="20" t="str">
        <f>'System Parameters'!L62</f>
        <v/>
      </c>
    </row>
    <row r="111">
      <c r="A111" s="20" t="str">
        <f>'System Parameters'!A63</f>
        <v/>
      </c>
      <c r="B111" s="20" t="str">
        <f>'System Parameters'!B63</f>
        <v/>
      </c>
      <c r="C111" s="20" t="str">
        <f>'System Parameters'!C63</f>
        <v/>
      </c>
      <c r="D111" s="20" t="str">
        <f>'System Parameters'!D63</f>
        <v/>
      </c>
      <c r="O111" s="20" t="str">
        <f>'System Parameters'!E63</f>
        <v/>
      </c>
      <c r="P111" s="20" t="str">
        <f>'System Parameters'!F63</f>
        <v/>
      </c>
      <c r="Q111" s="20" t="str">
        <f>'System Parameters'!G63</f>
        <v/>
      </c>
      <c r="R111" s="20" t="str">
        <f>'System Parameters'!H63</f>
        <v/>
      </c>
      <c r="S111" s="20" t="str">
        <f>'System Parameters'!I63</f>
        <v/>
      </c>
      <c r="T111" s="20" t="str">
        <f>'System Parameters'!J63</f>
        <v/>
      </c>
      <c r="U111" s="20" t="str">
        <f>'System Parameters'!K63</f>
        <v/>
      </c>
      <c r="V111" s="20" t="str">
        <f>'System Parameters'!L63</f>
        <v/>
      </c>
    </row>
    <row r="112">
      <c r="A112" s="20" t="str">
        <f>'System Parameters'!A64</f>
        <v/>
      </c>
      <c r="B112" s="20" t="str">
        <f>'System Parameters'!B64</f>
        <v/>
      </c>
      <c r="C112" s="20" t="str">
        <f>'System Parameters'!C64</f>
        <v/>
      </c>
      <c r="D112" s="20" t="str">
        <f>'System Parameters'!D64</f>
        <v/>
      </c>
      <c r="O112" s="20" t="str">
        <f>'System Parameters'!E64</f>
        <v/>
      </c>
      <c r="P112" s="20" t="str">
        <f>'System Parameters'!F64</f>
        <v/>
      </c>
      <c r="Q112" s="20" t="str">
        <f>'System Parameters'!G64</f>
        <v/>
      </c>
      <c r="R112" s="20" t="str">
        <f>'System Parameters'!H64</f>
        <v/>
      </c>
      <c r="S112" s="20" t="str">
        <f>'System Parameters'!I64</f>
        <v/>
      </c>
      <c r="T112" s="20" t="str">
        <f>'System Parameters'!J64</f>
        <v/>
      </c>
      <c r="U112" s="20" t="str">
        <f>'System Parameters'!K64</f>
        <v/>
      </c>
      <c r="V112" s="20" t="str">
        <f>'System Parameters'!L64</f>
        <v/>
      </c>
    </row>
    <row r="113">
      <c r="A113" s="20" t="str">
        <f>'System Parameters'!A65</f>
        <v/>
      </c>
      <c r="B113" s="20" t="str">
        <f>'System Parameters'!B65</f>
        <v/>
      </c>
      <c r="C113" s="20" t="str">
        <f>'System Parameters'!C65</f>
        <v/>
      </c>
      <c r="D113" s="20" t="str">
        <f>'System Parameters'!D65</f>
        <v/>
      </c>
      <c r="O113" s="20" t="str">
        <f>'System Parameters'!E65</f>
        <v/>
      </c>
      <c r="P113" s="20" t="str">
        <f>'System Parameters'!F65</f>
        <v/>
      </c>
      <c r="Q113" s="20" t="str">
        <f>'System Parameters'!G65</f>
        <v/>
      </c>
      <c r="R113" s="20" t="str">
        <f>'System Parameters'!H65</f>
        <v/>
      </c>
      <c r="S113" s="20" t="str">
        <f>'System Parameters'!I65</f>
        <v/>
      </c>
      <c r="T113" s="20" t="str">
        <f>'System Parameters'!J65</f>
        <v/>
      </c>
      <c r="U113" s="20" t="str">
        <f>'System Parameters'!K65</f>
        <v/>
      </c>
      <c r="V113" s="20" t="str">
        <f>'System Parameters'!L65</f>
        <v/>
      </c>
    </row>
    <row r="114">
      <c r="A114" s="20" t="str">
        <f>'System Parameters'!A66</f>
        <v/>
      </c>
      <c r="B114" s="20" t="str">
        <f>'System Parameters'!B66</f>
        <v/>
      </c>
      <c r="C114" s="20" t="str">
        <f>'System Parameters'!C66</f>
        <v/>
      </c>
      <c r="D114" s="20" t="str">
        <f>'System Parameters'!D66</f>
        <v/>
      </c>
      <c r="O114" s="20" t="str">
        <f>'System Parameters'!E66</f>
        <v/>
      </c>
      <c r="P114" s="20" t="str">
        <f>'System Parameters'!F66</f>
        <v/>
      </c>
      <c r="Q114" s="20" t="str">
        <f>'System Parameters'!G66</f>
        <v/>
      </c>
      <c r="R114" s="20" t="str">
        <f>'System Parameters'!H66</f>
        <v/>
      </c>
      <c r="S114" s="20" t="str">
        <f>'System Parameters'!I66</f>
        <v/>
      </c>
      <c r="T114" s="20" t="str">
        <f>'System Parameters'!J66</f>
        <v/>
      </c>
      <c r="U114" s="20" t="str">
        <f>'System Parameters'!K66</f>
        <v/>
      </c>
      <c r="V114" s="20" t="str">
        <f>'System Parameters'!L66</f>
        <v/>
      </c>
    </row>
    <row r="115">
      <c r="A115" s="20" t="str">
        <f>'System Parameters'!A67</f>
        <v/>
      </c>
      <c r="B115" s="20" t="str">
        <f>'System Parameters'!B67</f>
        <v/>
      </c>
      <c r="C115" s="20" t="str">
        <f>'System Parameters'!C67</f>
        <v/>
      </c>
      <c r="D115" s="20" t="str">
        <f>'System Parameters'!D67</f>
        <v/>
      </c>
      <c r="O115" s="20" t="str">
        <f>'System Parameters'!E67</f>
        <v/>
      </c>
      <c r="P115" s="20" t="str">
        <f>'System Parameters'!F67</f>
        <v/>
      </c>
      <c r="Q115" s="20" t="str">
        <f>'System Parameters'!G67</f>
        <v/>
      </c>
      <c r="R115" s="20" t="str">
        <f>'System Parameters'!H67</f>
        <v/>
      </c>
      <c r="S115" s="20" t="str">
        <f>'System Parameters'!I67</f>
        <v/>
      </c>
      <c r="T115" s="20" t="str">
        <f>'System Parameters'!J67</f>
        <v/>
      </c>
      <c r="U115" s="20" t="str">
        <f>'System Parameters'!K67</f>
        <v/>
      </c>
      <c r="V115" s="20" t="str">
        <f>'System Parameters'!L67</f>
        <v/>
      </c>
    </row>
    <row r="116">
      <c r="A116" s="20" t="str">
        <f>'System Parameters'!A68</f>
        <v/>
      </c>
      <c r="B116" s="20" t="str">
        <f>'System Parameters'!B68</f>
        <v/>
      </c>
      <c r="C116" s="20" t="str">
        <f>'System Parameters'!C68</f>
        <v/>
      </c>
      <c r="D116" s="20" t="str">
        <f>'System Parameters'!D68</f>
        <v/>
      </c>
      <c r="O116" s="20" t="str">
        <f>'System Parameters'!E68</f>
        <v/>
      </c>
      <c r="P116" s="20" t="str">
        <f>'System Parameters'!F68</f>
        <v/>
      </c>
      <c r="Q116" s="20" t="str">
        <f>'System Parameters'!G68</f>
        <v/>
      </c>
      <c r="R116" s="20" t="str">
        <f>'System Parameters'!H68</f>
        <v/>
      </c>
      <c r="S116" s="20" t="str">
        <f>'System Parameters'!I68</f>
        <v/>
      </c>
      <c r="T116" s="20" t="str">
        <f>'System Parameters'!J68</f>
        <v/>
      </c>
      <c r="U116" s="20" t="str">
        <f>'System Parameters'!K68</f>
        <v/>
      </c>
      <c r="V116" s="20" t="str">
        <f>'System Parameters'!L68</f>
        <v/>
      </c>
    </row>
    <row r="117">
      <c r="A117" s="20" t="str">
        <f>'System Parameters'!A69</f>
        <v/>
      </c>
      <c r="B117" s="20" t="str">
        <f>'System Parameters'!B69</f>
        <v/>
      </c>
      <c r="C117" s="20" t="str">
        <f>'System Parameters'!C69</f>
        <v/>
      </c>
      <c r="D117" s="20" t="str">
        <f>'System Parameters'!D69</f>
        <v/>
      </c>
      <c r="O117" s="20" t="str">
        <f>'System Parameters'!E69</f>
        <v/>
      </c>
      <c r="P117" s="20" t="str">
        <f>'System Parameters'!F69</f>
        <v/>
      </c>
      <c r="Q117" s="20" t="str">
        <f>'System Parameters'!G69</f>
        <v/>
      </c>
      <c r="R117" s="20" t="str">
        <f>'System Parameters'!H69</f>
        <v/>
      </c>
      <c r="S117" s="20" t="str">
        <f>'System Parameters'!I69</f>
        <v/>
      </c>
      <c r="T117" s="20" t="str">
        <f>'System Parameters'!J69</f>
        <v/>
      </c>
      <c r="U117" s="20" t="str">
        <f>'System Parameters'!K69</f>
        <v/>
      </c>
      <c r="V117" s="20" t="str">
        <f>'System Parameters'!L69</f>
        <v/>
      </c>
    </row>
    <row r="118">
      <c r="A118" s="20" t="str">
        <f>'System Parameters'!A70</f>
        <v/>
      </c>
      <c r="B118" s="20" t="str">
        <f>'System Parameters'!B70</f>
        <v/>
      </c>
      <c r="C118" s="20" t="str">
        <f>'System Parameters'!C70</f>
        <v/>
      </c>
      <c r="D118" s="20" t="str">
        <f>'System Parameters'!D70</f>
        <v/>
      </c>
      <c r="O118" s="20" t="str">
        <f>'System Parameters'!E70</f>
        <v/>
      </c>
      <c r="P118" s="20" t="str">
        <f>'System Parameters'!F70</f>
        <v/>
      </c>
      <c r="Q118" s="20" t="str">
        <f>'System Parameters'!G70</f>
        <v/>
      </c>
      <c r="R118" s="20" t="str">
        <f>'System Parameters'!H70</f>
        <v/>
      </c>
      <c r="S118" s="20" t="str">
        <f>'System Parameters'!I70</f>
        <v/>
      </c>
      <c r="T118" s="20" t="str">
        <f>'System Parameters'!J70</f>
        <v/>
      </c>
      <c r="U118" s="20" t="str">
        <f>'System Parameters'!K70</f>
        <v/>
      </c>
      <c r="V118" s="20" t="str">
        <f>'System Parameters'!L70</f>
        <v/>
      </c>
    </row>
  </sheetData>
  <drawing r:id="rId1"/>
</worksheet>
</file>